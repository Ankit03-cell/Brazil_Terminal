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e5accf5d779e70b/ARB/Imp_Excel/analyze/"/>
    </mc:Choice>
  </mc:AlternateContent>
  <xr:revisionPtr revIDLastSave="64" documentId="8_{9A8B7682-89C0-49B3-A564-E68B5466D2B6}" xr6:coauthVersionLast="47" xr6:coauthVersionMax="47" xr10:uidLastSave="{58BC5B92-B726-4114-A405-56C9445F0AFC}"/>
  <bookViews>
    <workbookView xWindow="45" yWindow="-16350" windowWidth="29040" windowHeight="15720" activeTab="1" xr2:uid="{ACF50653-1E53-4750-A677-45DF1C4B260B}"/>
  </bookViews>
  <sheets>
    <sheet name="Sheet1" sheetId="1" r:id="rId1"/>
    <sheet name="Sheet2" sheetId="2" r:id="rId2"/>
    <sheet name="Contract" sheetId="3" r:id="rId3"/>
  </sheets>
  <externalReferences>
    <externalReference r:id="rId4"/>
  </externalReferences>
  <definedNames>
    <definedName name="_xlpm.all" hidden="1" xlm="1">#NAME?</definedName>
    <definedName name="_xlpm.lastQ" hidden="1" xlm="1">#NAME?</definedName>
    <definedName name="_xlpm.m" hidden="1" xlm="1">#NAME?</definedName>
    <definedName name="_xlpm.mEnd" hidden="1" xlm="1">#NAME?</definedName>
    <definedName name="_xlpm.nextQuarterMonth" hidden="1" xlm="1">#NAME?</definedName>
    <definedName name="_xlpm.q" hidden="1" xlm="1">#NAME?</definedName>
    <definedName name="_xlpm.qMonths" hidden="1" xlm="1">#NAME?</definedName>
    <definedName name="_xlpm.qStart" hidden="1" xlm="1">#NAME?</definedName>
    <definedName name="_xlpm.qStartYear" hidden="1" xlm="1">#NAME?</definedName>
    <definedName name="_xlpm.s" hidden="1" xlm="1">#NAME?</definedName>
    <definedName name="_xlpm.y" hidden="1" xlm="1">#NAME?</definedName>
    <definedName name="_xlpm.yStart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" i="3" l="1"/>
  <c r="D3" i="3" s="1" a="1"/>
  <c r="O2" i="2"/>
  <c r="O3" i="2"/>
  <c r="O4" i="2"/>
  <c r="O5" i="2"/>
  <c r="O6" i="2"/>
  <c r="O7" i="2"/>
  <c r="O8" i="2"/>
  <c r="O9" i="2"/>
  <c r="O10" i="2"/>
  <c r="R2" i="2"/>
  <c r="R3" i="2"/>
  <c r="R4" i="2"/>
  <c r="R5" i="2"/>
  <c r="R6" i="2"/>
  <c r="R7" i="2"/>
  <c r="R8" i="2"/>
  <c r="R9" i="2"/>
  <c r="R10" i="2"/>
  <c r="R1" i="2"/>
  <c r="O1" i="2"/>
  <c r="K12" i="2"/>
  <c r="AG28" i="2"/>
  <c r="AG29" i="2"/>
  <c r="D2" i="2"/>
  <c r="D3" i="2"/>
  <c r="D4" i="2"/>
  <c r="D5" i="2"/>
  <c r="D6" i="2"/>
  <c r="D7" i="2"/>
  <c r="D8" i="2"/>
  <c r="D9" i="2"/>
  <c r="D10" i="2"/>
  <c r="D11" i="2"/>
  <c r="D12" i="2"/>
  <c r="D13" i="2"/>
  <c r="D14" i="2"/>
  <c r="D1" i="2"/>
  <c r="A2" i="2"/>
  <c r="A3" i="2"/>
  <c r="A4" i="2"/>
  <c r="A5" i="2"/>
  <c r="A6" i="2"/>
  <c r="A7" i="2"/>
  <c r="A8" i="2"/>
  <c r="A9" i="2"/>
  <c r="A10" i="2"/>
  <c r="A11" i="2"/>
  <c r="A12" i="2"/>
  <c r="A13" i="2"/>
  <c r="A14" i="2"/>
  <c r="A1" i="2"/>
  <c r="AH1" i="2"/>
  <c r="AH2" i="2"/>
  <c r="AH3" i="2"/>
  <c r="AH4" i="2"/>
  <c r="AH5" i="2"/>
  <c r="AH6" i="2"/>
  <c r="AH7" i="2"/>
  <c r="AH8" i="2"/>
  <c r="AH9" i="2"/>
  <c r="AH10" i="2"/>
  <c r="AH11" i="2"/>
  <c r="AH12" i="2"/>
  <c r="AH13" i="2"/>
  <c r="AH30" i="2"/>
  <c r="AH31" i="2"/>
  <c r="AH32" i="2"/>
  <c r="AH33" i="2"/>
  <c r="AH34" i="2"/>
  <c r="AH35" i="2"/>
  <c r="AH36" i="2"/>
  <c r="AH37" i="2"/>
  <c r="AH38" i="2"/>
  <c r="AH39" i="2"/>
  <c r="AG27" i="2"/>
  <c r="H12" i="2" s="1"/>
  <c r="AG26" i="2"/>
  <c r="H11" i="2" s="1"/>
  <c r="AG25" i="2"/>
  <c r="H10" i="2" s="1"/>
  <c r="AG24" i="2"/>
  <c r="H9" i="2" s="1"/>
  <c r="AG23" i="2"/>
  <c r="H8" i="2" s="1"/>
  <c r="AG22" i="2"/>
  <c r="H7" i="2" s="1"/>
  <c r="AG21" i="2"/>
  <c r="H6" i="2" s="1"/>
  <c r="AG20" i="2"/>
  <c r="H5" i="2" s="1"/>
  <c r="AG19" i="2"/>
  <c r="H4" i="2" s="1"/>
  <c r="AG18" i="2"/>
  <c r="AH18" i="2" s="1"/>
  <c r="AG17" i="2"/>
  <c r="H2" i="2" s="1"/>
  <c r="AG16" i="2"/>
  <c r="K1" i="2" s="1"/>
  <c r="B1" i="1"/>
  <c r="E24" i="3" l="1"/>
  <c r="E12" i="3"/>
  <c r="C27" i="3"/>
  <c r="F38" i="3"/>
  <c r="J38" i="3" s="1"/>
  <c r="F6" i="3"/>
  <c r="J6" i="3" s="1"/>
  <c r="E30" i="3"/>
  <c r="C38" i="3"/>
  <c r="C18" i="3"/>
  <c r="F9" i="3"/>
  <c r="J9" i="3" s="1"/>
  <c r="E33" i="3"/>
  <c r="C33" i="3"/>
  <c r="E32" i="3"/>
  <c r="E8" i="3"/>
  <c r="C23" i="3"/>
  <c r="F29" i="3"/>
  <c r="J29" i="3" s="1"/>
  <c r="E5" i="3"/>
  <c r="C37" i="3"/>
  <c r="C9" i="3"/>
  <c r="E28" i="3"/>
  <c r="E16" i="3"/>
  <c r="C11" i="3"/>
  <c r="F22" i="3"/>
  <c r="J22" i="3" s="1"/>
  <c r="E26" i="3"/>
  <c r="C30" i="3"/>
  <c r="C10" i="3"/>
  <c r="F21" i="3"/>
  <c r="J21" i="3" s="1"/>
  <c r="F5" i="3"/>
  <c r="J5" i="3" s="1"/>
  <c r="E21" i="3"/>
  <c r="C21" i="3"/>
  <c r="F40" i="3"/>
  <c r="J40" i="3" s="1"/>
  <c r="F36" i="3"/>
  <c r="J36" i="3" s="1"/>
  <c r="F32" i="3"/>
  <c r="J32" i="3" s="1"/>
  <c r="F28" i="3"/>
  <c r="J28" i="3" s="1"/>
  <c r="F24" i="3"/>
  <c r="J24" i="3" s="1"/>
  <c r="F20" i="3"/>
  <c r="J20" i="3" s="1"/>
  <c r="F16" i="3"/>
  <c r="J16" i="3" s="1"/>
  <c r="F12" i="3"/>
  <c r="J12" i="3" s="1"/>
  <c r="F8" i="3"/>
  <c r="J8" i="3" s="1"/>
  <c r="F4" i="3"/>
  <c r="J4" i="3" s="1"/>
  <c r="E36" i="3"/>
  <c r="E20" i="3"/>
  <c r="E4" i="3"/>
  <c r="C19" i="3"/>
  <c r="F14" i="3"/>
  <c r="J14" i="3" s="1"/>
  <c r="E38" i="3"/>
  <c r="E6" i="3"/>
  <c r="C26" i="3"/>
  <c r="C6" i="3"/>
  <c r="F25" i="3"/>
  <c r="J25" i="3" s="1"/>
  <c r="E29" i="3"/>
  <c r="C29" i="3"/>
  <c r="E40" i="3"/>
  <c r="C15" i="3"/>
  <c r="F26" i="3"/>
  <c r="J26" i="3" s="1"/>
  <c r="E10" i="3"/>
  <c r="C22" i="3"/>
  <c r="F13" i="3"/>
  <c r="J13" i="3" s="1"/>
  <c r="E13" i="3"/>
  <c r="C25" i="3"/>
  <c r="C40" i="3"/>
  <c r="C36" i="3"/>
  <c r="C32" i="3"/>
  <c r="C28" i="3"/>
  <c r="C24" i="3"/>
  <c r="C20" i="3"/>
  <c r="C16" i="3"/>
  <c r="C12" i="3"/>
  <c r="C8" i="3"/>
  <c r="C4" i="3"/>
  <c r="F30" i="3"/>
  <c r="J30" i="3" s="1"/>
  <c r="E14" i="3"/>
  <c r="E37" i="3"/>
  <c r="C31" i="3"/>
  <c r="F18" i="3"/>
  <c r="J18" i="3" s="1"/>
  <c r="E18" i="3"/>
  <c r="F17" i="3"/>
  <c r="J17" i="3" s="1"/>
  <c r="E17" i="3"/>
  <c r="C5" i="3"/>
  <c r="F39" i="3"/>
  <c r="J39" i="3" s="1"/>
  <c r="F35" i="3"/>
  <c r="J35" i="3" s="1"/>
  <c r="F31" i="3"/>
  <c r="J31" i="3" s="1"/>
  <c r="F27" i="3"/>
  <c r="J27" i="3" s="1"/>
  <c r="F23" i="3"/>
  <c r="J23" i="3" s="1"/>
  <c r="F19" i="3"/>
  <c r="J19" i="3" s="1"/>
  <c r="F15" i="3"/>
  <c r="J15" i="3" s="1"/>
  <c r="F11" i="3"/>
  <c r="J11" i="3" s="1"/>
  <c r="F7" i="3"/>
  <c r="J7" i="3" s="1"/>
  <c r="E7" i="3"/>
  <c r="C35" i="3"/>
  <c r="D3" i="3"/>
  <c r="F10" i="3"/>
  <c r="J10" i="3" s="1"/>
  <c r="E34" i="3"/>
  <c r="C34" i="3"/>
  <c r="C14" i="3"/>
  <c r="F33" i="3"/>
  <c r="J33" i="3" s="1"/>
  <c r="E25" i="3"/>
  <c r="C17" i="3"/>
  <c r="E39" i="3"/>
  <c r="E35" i="3"/>
  <c r="E31" i="3"/>
  <c r="E27" i="3"/>
  <c r="E23" i="3"/>
  <c r="E19" i="3"/>
  <c r="E15" i="3"/>
  <c r="E11" i="3"/>
  <c r="C39" i="3"/>
  <c r="C7" i="3"/>
  <c r="F34" i="3"/>
  <c r="J34" i="3" s="1"/>
  <c r="E22" i="3"/>
  <c r="F37" i="3"/>
  <c r="J37" i="3" s="1"/>
  <c r="E9" i="3"/>
  <c r="C13" i="3"/>
  <c r="K6" i="2"/>
  <c r="K5" i="2"/>
  <c r="K9" i="2"/>
  <c r="K8" i="2"/>
  <c r="K7" i="2"/>
  <c r="K11" i="2"/>
  <c r="K10" i="2"/>
  <c r="K4" i="2"/>
  <c r="H1" i="2"/>
  <c r="H3" i="2"/>
  <c r="K3" i="2"/>
  <c r="K2" i="2"/>
  <c r="AH21" i="2"/>
  <c r="AH22" i="2"/>
  <c r="AH20" i="2"/>
  <c r="AH19" i="2"/>
  <c r="AH17" i="2"/>
  <c r="AH16" i="2"/>
  <c r="AH23" i="2"/>
  <c r="AH25" i="2"/>
  <c r="AH24" i="2"/>
  <c r="AH27" i="2"/>
  <c r="AH26" i="2"/>
  <c r="C3" i="3" l="1"/>
  <c r="F3" i="3"/>
  <c r="E3" i="3"/>
  <c r="J3" i="3" l="1"/>
  <c r="J4" i="1" l="1"/>
  <c r="K4" i="1" s="1"/>
  <c r="C14" i="1" l="1"/>
  <c r="D14" i="1" s="1"/>
  <c r="C41" i="1"/>
  <c r="D41" i="1" s="1"/>
  <c r="C13" i="1"/>
  <c r="D13" i="1" s="1"/>
  <c r="C40" i="1"/>
  <c r="D40" i="1" s="1"/>
  <c r="C12" i="1"/>
  <c r="D12" i="1" s="1"/>
  <c r="C39" i="1"/>
  <c r="D39" i="1" s="1"/>
  <c r="C11" i="1"/>
  <c r="D11" i="1" s="1"/>
  <c r="C38" i="1"/>
  <c r="D38" i="1" s="1"/>
  <c r="C10" i="1"/>
  <c r="D10" i="1" s="1"/>
  <c r="C37" i="1"/>
  <c r="D37" i="1" s="1"/>
  <c r="C9" i="1"/>
  <c r="D9" i="1" s="1"/>
  <c r="C36" i="1"/>
  <c r="D36" i="1" s="1"/>
  <c r="C8" i="1"/>
  <c r="D8" i="1" s="1"/>
  <c r="C35" i="1"/>
  <c r="D35" i="1" s="1"/>
  <c r="C7" i="1"/>
  <c r="D7" i="1" s="1"/>
  <c r="C34" i="1"/>
  <c r="D34" i="1" s="1"/>
  <c r="C6" i="1"/>
  <c r="D6" i="1" s="1"/>
  <c r="C32" i="1"/>
  <c r="D32" i="1" s="1"/>
  <c r="C31" i="1"/>
  <c r="D31" i="1" s="1"/>
  <c r="C30" i="1"/>
  <c r="D30" i="1" s="1"/>
  <c r="C29" i="1"/>
  <c r="D29" i="1" s="1"/>
  <c r="C28" i="1"/>
  <c r="D28" i="1" s="1"/>
  <c r="C27" i="1"/>
  <c r="D27" i="1" s="1"/>
  <c r="C26" i="1"/>
  <c r="D26" i="1" s="1"/>
  <c r="C25" i="1"/>
  <c r="D25" i="1" s="1"/>
  <c r="C24" i="1"/>
  <c r="D24" i="1" s="1"/>
  <c r="C23" i="1"/>
  <c r="D23" i="1" s="1"/>
  <c r="C22" i="1"/>
  <c r="D22" i="1" s="1"/>
  <c r="C21" i="1"/>
  <c r="D21" i="1" s="1"/>
  <c r="C20" i="1"/>
  <c r="D20" i="1" s="1"/>
  <c r="C19" i="1"/>
  <c r="D19" i="1" s="1"/>
  <c r="C18" i="1"/>
  <c r="D18" i="1" s="1"/>
  <c r="C17" i="1"/>
  <c r="D17" i="1" s="1"/>
  <c r="C16" i="1"/>
  <c r="D16" i="1" s="1"/>
  <c r="C15" i="1"/>
  <c r="D15" i="1" s="1"/>
  <c r="C33" i="1"/>
  <c r="D33" i="1" s="1"/>
  <c r="C5" i="1"/>
  <c r="D5" i="1" s="1"/>
  <c r="B29" i="1"/>
  <c r="B9" i="1"/>
  <c r="B8" i="1"/>
  <c r="B41" i="1"/>
  <c r="B12" i="1"/>
  <c r="B10" i="1"/>
  <c r="B35" i="1"/>
  <c r="B7" i="1"/>
  <c r="B31" i="1"/>
  <c r="B27" i="1"/>
  <c r="B25" i="1"/>
  <c r="B23" i="1"/>
  <c r="B21" i="1"/>
  <c r="B19" i="1"/>
  <c r="B17" i="1"/>
  <c r="B15" i="1"/>
  <c r="B14" i="1"/>
  <c r="B40" i="1"/>
  <c r="B11" i="1"/>
  <c r="B37" i="1"/>
  <c r="B34" i="1"/>
  <c r="B6" i="1"/>
  <c r="B32" i="1"/>
  <c r="B30" i="1"/>
  <c r="B28" i="1"/>
  <c r="B26" i="1"/>
  <c r="B24" i="1"/>
  <c r="B22" i="1"/>
  <c r="B20" i="1"/>
  <c r="B18" i="1"/>
  <c r="B16" i="1"/>
  <c r="B13" i="1"/>
  <c r="B39" i="1"/>
  <c r="B38" i="1"/>
  <c r="B36" i="1"/>
  <c r="B33" i="1"/>
  <c r="B5" i="1"/>
  <c r="B4" i="1"/>
  <c r="J31" i="1"/>
  <c r="K31" i="1" s="1"/>
  <c r="J16" i="1"/>
  <c r="K16" i="1" s="1"/>
  <c r="J9" i="1"/>
  <c r="K9" i="1" s="1"/>
  <c r="J8" i="1"/>
  <c r="K8" i="1" s="1"/>
  <c r="J32" i="1"/>
  <c r="K32" i="1" s="1"/>
  <c r="J30" i="1"/>
  <c r="K30" i="1" s="1"/>
  <c r="J28" i="1"/>
  <c r="K28" i="1" s="1"/>
  <c r="J25" i="1"/>
  <c r="K25" i="1" s="1"/>
  <c r="J7" i="1"/>
  <c r="K7" i="1" s="1"/>
  <c r="J29" i="1"/>
  <c r="K29" i="1" s="1"/>
  <c r="J27" i="1"/>
  <c r="K27" i="1" s="1"/>
  <c r="J26" i="1"/>
  <c r="K26" i="1" s="1"/>
  <c r="J24" i="1"/>
  <c r="K24" i="1" s="1"/>
  <c r="J23" i="1"/>
  <c r="K23" i="1" s="1"/>
  <c r="J22" i="1"/>
  <c r="K22" i="1" s="1"/>
  <c r="J21" i="1"/>
  <c r="K21" i="1" s="1"/>
  <c r="J20" i="1"/>
  <c r="K20" i="1" s="1"/>
  <c r="J19" i="1"/>
  <c r="K19" i="1" s="1"/>
  <c r="J18" i="1"/>
  <c r="K18" i="1" s="1"/>
  <c r="J17" i="1"/>
  <c r="K17" i="1" s="1"/>
  <c r="J15" i="1"/>
  <c r="K15" i="1" s="1"/>
  <c r="J14" i="1"/>
  <c r="K14" i="1" s="1"/>
  <c r="J13" i="1"/>
  <c r="K13" i="1" s="1"/>
  <c r="J12" i="1"/>
  <c r="K12" i="1" s="1"/>
  <c r="J11" i="1"/>
  <c r="K11" i="1" s="1"/>
  <c r="J38" i="1"/>
  <c r="K38" i="1" s="1"/>
  <c r="J37" i="1"/>
  <c r="K37" i="1" s="1"/>
  <c r="J35" i="1"/>
  <c r="K35" i="1" s="1"/>
  <c r="J34" i="1"/>
  <c r="K34" i="1" s="1"/>
  <c r="J6" i="1"/>
  <c r="K6" i="1" s="1"/>
  <c r="J41" i="1"/>
  <c r="K41" i="1" s="1"/>
  <c r="J40" i="1"/>
  <c r="K40" i="1" s="1"/>
  <c r="J39" i="1"/>
  <c r="K39" i="1" s="1"/>
  <c r="J10" i="1"/>
  <c r="K10" i="1" s="1"/>
  <c r="J36" i="1"/>
  <c r="K36" i="1" s="1"/>
  <c r="J33" i="1"/>
  <c r="K33" i="1" s="1"/>
  <c r="J5" i="1"/>
  <c r="K5" i="1" s="1"/>
  <c r="H23" i="1" l="1"/>
  <c r="F23" i="1"/>
  <c r="G23" i="1"/>
  <c r="E23" i="1"/>
  <c r="I23" i="1"/>
  <c r="I24" i="1"/>
  <c r="E24" i="1"/>
  <c r="H24" i="1"/>
  <c r="G24" i="1"/>
  <c r="F24" i="1"/>
  <c r="L24" i="1" s="1"/>
  <c r="F25" i="1"/>
  <c r="E25" i="1"/>
  <c r="I25" i="1"/>
  <c r="H25" i="1"/>
  <c r="G25" i="1"/>
  <c r="F26" i="1"/>
  <c r="G26" i="1"/>
  <c r="E26" i="1"/>
  <c r="H26" i="1"/>
  <c r="I26" i="1"/>
  <c r="E27" i="1"/>
  <c r="G27" i="1"/>
  <c r="H27" i="1"/>
  <c r="F27" i="1"/>
  <c r="I27" i="1"/>
  <c r="H28" i="1"/>
  <c r="F28" i="1"/>
  <c r="I28" i="1"/>
  <c r="G28" i="1"/>
  <c r="E28" i="1"/>
  <c r="H29" i="1"/>
  <c r="E29" i="1"/>
  <c r="I29" i="1"/>
  <c r="F29" i="1"/>
  <c r="G29" i="1"/>
  <c r="E30" i="1"/>
  <c r="H30" i="1"/>
  <c r="G30" i="1"/>
  <c r="F30" i="1"/>
  <c r="I30" i="1"/>
  <c r="F31" i="1"/>
  <c r="I31" i="1"/>
  <c r="G31" i="1"/>
  <c r="E31" i="1"/>
  <c r="H31" i="1"/>
  <c r="G32" i="1"/>
  <c r="I32" i="1"/>
  <c r="E32" i="1"/>
  <c r="F32" i="1"/>
  <c r="H32" i="1"/>
  <c r="I6" i="1"/>
  <c r="E6" i="1"/>
  <c r="G6" i="1"/>
  <c r="F6" i="1"/>
  <c r="H6" i="1"/>
  <c r="F34" i="1"/>
  <c r="L34" i="1" s="1"/>
  <c r="G34" i="1"/>
  <c r="I34" i="1"/>
  <c r="H34" i="1"/>
  <c r="E34" i="1"/>
  <c r="I7" i="1"/>
  <c r="F7" i="1"/>
  <c r="G7" i="1"/>
  <c r="H7" i="1"/>
  <c r="E7" i="1"/>
  <c r="E35" i="1"/>
  <c r="F35" i="1"/>
  <c r="G35" i="1"/>
  <c r="H35" i="1"/>
  <c r="I35" i="1"/>
  <c r="I8" i="1"/>
  <c r="E8" i="1"/>
  <c r="F8" i="1"/>
  <c r="H8" i="1"/>
  <c r="G8" i="1"/>
  <c r="E36" i="1"/>
  <c r="I36" i="1"/>
  <c r="G36" i="1"/>
  <c r="F36" i="1"/>
  <c r="H36" i="1"/>
  <c r="H9" i="1"/>
  <c r="I9" i="1"/>
  <c r="G9" i="1"/>
  <c r="E9" i="1"/>
  <c r="F9" i="1"/>
  <c r="C4" i="1"/>
  <c r="D4" i="1" s="1"/>
  <c r="F37" i="1"/>
  <c r="E37" i="1"/>
  <c r="H37" i="1"/>
  <c r="I37" i="1"/>
  <c r="G37" i="1"/>
  <c r="E5" i="1"/>
  <c r="F5" i="1"/>
  <c r="H5" i="1"/>
  <c r="G5" i="1"/>
  <c r="I5" i="1"/>
  <c r="E10" i="1"/>
  <c r="F10" i="1"/>
  <c r="G10" i="1"/>
  <c r="H10" i="1"/>
  <c r="I10" i="1"/>
  <c r="F33" i="1"/>
  <c r="H33" i="1"/>
  <c r="E33" i="1"/>
  <c r="I33" i="1"/>
  <c r="G33" i="1"/>
  <c r="F38" i="1"/>
  <c r="H38" i="1"/>
  <c r="E38" i="1"/>
  <c r="G38" i="1"/>
  <c r="I38" i="1"/>
  <c r="I15" i="1"/>
  <c r="G15" i="1"/>
  <c r="F15" i="1"/>
  <c r="H15" i="1"/>
  <c r="E15" i="1"/>
  <c r="F11" i="1"/>
  <c r="I11" i="1"/>
  <c r="G11" i="1"/>
  <c r="H11" i="1"/>
  <c r="E11" i="1"/>
  <c r="F16" i="1"/>
  <c r="E16" i="1"/>
  <c r="H16" i="1"/>
  <c r="I16" i="1"/>
  <c r="G16" i="1"/>
  <c r="E39" i="1"/>
  <c r="I39" i="1"/>
  <c r="F39" i="1"/>
  <c r="G39" i="1"/>
  <c r="H39" i="1"/>
  <c r="I17" i="1"/>
  <c r="F17" i="1"/>
  <c r="G17" i="1"/>
  <c r="E17" i="1"/>
  <c r="H17" i="1"/>
  <c r="F12" i="1"/>
  <c r="E12" i="1"/>
  <c r="H12" i="1"/>
  <c r="I12" i="1"/>
  <c r="G12" i="1"/>
  <c r="H18" i="1"/>
  <c r="I18" i="1"/>
  <c r="E18" i="1"/>
  <c r="F18" i="1"/>
  <c r="G18" i="1"/>
  <c r="F40" i="1"/>
  <c r="H40" i="1"/>
  <c r="G40" i="1"/>
  <c r="I40" i="1"/>
  <c r="E40" i="1"/>
  <c r="H19" i="1"/>
  <c r="G19" i="1"/>
  <c r="E19" i="1"/>
  <c r="F19" i="1"/>
  <c r="I19" i="1"/>
  <c r="I13" i="1"/>
  <c r="E13" i="1"/>
  <c r="G13" i="1"/>
  <c r="F13" i="1"/>
  <c r="H13" i="1"/>
  <c r="H20" i="1"/>
  <c r="I20" i="1"/>
  <c r="E20" i="1"/>
  <c r="G20" i="1"/>
  <c r="F20" i="1"/>
  <c r="I41" i="1"/>
  <c r="G41" i="1"/>
  <c r="E41" i="1"/>
  <c r="H41" i="1"/>
  <c r="F41" i="1"/>
  <c r="I21" i="1"/>
  <c r="F21" i="1"/>
  <c r="E21" i="1"/>
  <c r="G21" i="1"/>
  <c r="H21" i="1"/>
  <c r="G14" i="1"/>
  <c r="E14" i="1"/>
  <c r="I14" i="1"/>
  <c r="F14" i="1"/>
  <c r="H14" i="1"/>
  <c r="H22" i="1"/>
  <c r="E22" i="1"/>
  <c r="G22" i="1"/>
  <c r="F22" i="1"/>
  <c r="I22" i="1"/>
  <c r="G32" i="3"/>
  <c r="L28" i="1" l="1"/>
  <c r="L39" i="1"/>
  <c r="L27" i="1"/>
  <c r="L8" i="1"/>
  <c r="L20" i="1"/>
  <c r="L13" i="1"/>
  <c r="L10" i="1"/>
  <c r="L17" i="1"/>
  <c r="L22" i="1"/>
  <c r="L41" i="1"/>
  <c r="L37" i="1"/>
  <c r="P33" i="1"/>
  <c r="H32" i="3" s="1"/>
  <c r="N33" i="1"/>
  <c r="O33" i="1"/>
  <c r="Q33" i="1" s="1"/>
  <c r="O28" i="1"/>
  <c r="Q28" i="1" s="1"/>
  <c r="P28" i="1"/>
  <c r="H27" i="3" s="1"/>
  <c r="N28" i="1"/>
  <c r="AG51" i="2"/>
  <c r="AH51" i="2"/>
  <c r="AH43" i="2"/>
  <c r="AG43" i="2"/>
  <c r="N9" i="1"/>
  <c r="P9" i="1"/>
  <c r="H8" i="3" s="1"/>
  <c r="O9" i="1"/>
  <c r="Q9" i="1" s="1"/>
  <c r="L6" i="1"/>
  <c r="N17" i="1"/>
  <c r="O17" i="1"/>
  <c r="Q17" i="1" s="1"/>
  <c r="P17" i="1"/>
  <c r="H16" i="3" s="1"/>
  <c r="P22" i="1"/>
  <c r="H21" i="3" s="1"/>
  <c r="N22" i="1"/>
  <c r="O22" i="1"/>
  <c r="Q22" i="1" s="1"/>
  <c r="L33" i="1"/>
  <c r="O27" i="1"/>
  <c r="Q27" i="1" s="1"/>
  <c r="P27" i="1"/>
  <c r="H26" i="3" s="1"/>
  <c r="N27" i="1"/>
  <c r="AG48" i="2"/>
  <c r="AH48" i="2"/>
  <c r="AH57" i="2"/>
  <c r="AG57" i="2"/>
  <c r="N13" i="1"/>
  <c r="O13" i="1"/>
  <c r="Q13" i="1" s="1"/>
  <c r="P13" i="1"/>
  <c r="H12" i="3" s="1"/>
  <c r="O10" i="1"/>
  <c r="Q10" i="1" s="1"/>
  <c r="N10" i="1"/>
  <c r="P10" i="1"/>
  <c r="H9" i="3" s="1"/>
  <c r="N19" i="1"/>
  <c r="P19" i="1"/>
  <c r="H18" i="3" s="1"/>
  <c r="O19" i="1"/>
  <c r="Q19" i="1" s="1"/>
  <c r="P39" i="1"/>
  <c r="H38" i="3" s="1"/>
  <c r="O39" i="1"/>
  <c r="Q39" i="1" s="1"/>
  <c r="N39" i="1"/>
  <c r="L36" i="1"/>
  <c r="O6" i="1"/>
  <c r="Q6" i="1" s="1"/>
  <c r="P6" i="1"/>
  <c r="H5" i="3" s="1"/>
  <c r="N6" i="1"/>
  <c r="L19" i="1"/>
  <c r="N36" i="1"/>
  <c r="P36" i="1"/>
  <c r="H35" i="3" s="1"/>
  <c r="O36" i="1"/>
  <c r="Q36" i="1" s="1"/>
  <c r="L32" i="1"/>
  <c r="AH53" i="2"/>
  <c r="AG53" i="2"/>
  <c r="P16" i="1"/>
  <c r="H15" i="3" s="1"/>
  <c r="N16" i="1"/>
  <c r="O16" i="1"/>
  <c r="Q16" i="1" s="1"/>
  <c r="O26" i="1"/>
  <c r="Q26" i="1" s="1"/>
  <c r="N26" i="1"/>
  <c r="P26" i="1"/>
  <c r="H25" i="3" s="1"/>
  <c r="AG42" i="2"/>
  <c r="AH42" i="2"/>
  <c r="L14" i="1"/>
  <c r="P5" i="1"/>
  <c r="H4" i="3" s="1"/>
  <c r="O5" i="1"/>
  <c r="Q5" i="1" s="1"/>
  <c r="N5" i="1"/>
  <c r="N32" i="1"/>
  <c r="P32" i="1"/>
  <c r="H31" i="3" s="1"/>
  <c r="O32" i="1"/>
  <c r="Q32" i="1" s="1"/>
  <c r="AG45" i="2"/>
  <c r="AH45" i="2"/>
  <c r="AG58" i="2"/>
  <c r="AH58" i="2"/>
  <c r="N14" i="1"/>
  <c r="P14" i="1"/>
  <c r="H13" i="3" s="1"/>
  <c r="O14" i="1"/>
  <c r="Q14" i="1" s="1"/>
  <c r="P40" i="1"/>
  <c r="H39" i="3" s="1"/>
  <c r="O40" i="1"/>
  <c r="Q40" i="1" s="1"/>
  <c r="N40" i="1"/>
  <c r="L16" i="1"/>
  <c r="L5" i="1"/>
  <c r="L26" i="1"/>
  <c r="O8" i="1"/>
  <c r="Q8" i="1" s="1"/>
  <c r="P8" i="1"/>
  <c r="H7" i="3" s="1"/>
  <c r="N8" i="1"/>
  <c r="L40" i="1"/>
  <c r="P35" i="1"/>
  <c r="H34" i="3" s="1"/>
  <c r="N35" i="1"/>
  <c r="O35" i="1"/>
  <c r="Q35" i="1" s="1"/>
  <c r="O31" i="1"/>
  <c r="Q31" i="1" s="1"/>
  <c r="N31" i="1"/>
  <c r="P31" i="1"/>
  <c r="H30" i="3" s="1"/>
  <c r="N11" i="1"/>
  <c r="P11" i="1"/>
  <c r="H10" i="3" s="1"/>
  <c r="O11" i="1"/>
  <c r="Q11" i="1" s="1"/>
  <c r="N37" i="1"/>
  <c r="O37" i="1"/>
  <c r="Q37" i="1" s="1"/>
  <c r="P37" i="1"/>
  <c r="H36" i="3" s="1"/>
  <c r="L31" i="1"/>
  <c r="N25" i="1"/>
  <c r="O25" i="1"/>
  <c r="Q25" i="1" s="1"/>
  <c r="P25" i="1"/>
  <c r="H24" i="3" s="1"/>
  <c r="AH47" i="2"/>
  <c r="AG47" i="2"/>
  <c r="AH56" i="2"/>
  <c r="AG56" i="2"/>
  <c r="L21" i="1"/>
  <c r="L18" i="1"/>
  <c r="L11" i="1"/>
  <c r="O30" i="1"/>
  <c r="Q30" i="1" s="1"/>
  <c r="P30" i="1"/>
  <c r="H29" i="3" s="1"/>
  <c r="N30" i="1"/>
  <c r="O21" i="1"/>
  <c r="Q21" i="1" s="1"/>
  <c r="P21" i="1"/>
  <c r="H20" i="3" s="1"/>
  <c r="N21" i="1"/>
  <c r="L35" i="1"/>
  <c r="L30" i="1"/>
  <c r="L25" i="1"/>
  <c r="O18" i="1"/>
  <c r="Q18" i="1" s="1"/>
  <c r="P18" i="1"/>
  <c r="H17" i="3" s="1"/>
  <c r="N18" i="1"/>
  <c r="L15" i="1"/>
  <c r="AG54" i="2"/>
  <c r="AH54" i="2"/>
  <c r="P12" i="1"/>
  <c r="H11" i="3" s="1"/>
  <c r="O12" i="1"/>
  <c r="Q12" i="1" s="1"/>
  <c r="N12" i="1"/>
  <c r="O15" i="1"/>
  <c r="Q15" i="1" s="1"/>
  <c r="P15" i="1"/>
  <c r="H14" i="3" s="1"/>
  <c r="N15" i="1"/>
  <c r="P41" i="1"/>
  <c r="H40" i="3" s="1"/>
  <c r="N41" i="1"/>
  <c r="O41" i="1"/>
  <c r="Q41" i="1" s="1"/>
  <c r="O38" i="1"/>
  <c r="Q38" i="1" s="1"/>
  <c r="P38" i="1"/>
  <c r="H37" i="3" s="1"/>
  <c r="N38" i="1"/>
  <c r="L7" i="1"/>
  <c r="L29" i="1"/>
  <c r="P24" i="1"/>
  <c r="H23" i="3" s="1"/>
  <c r="N24" i="1"/>
  <c r="O24" i="1"/>
  <c r="Q24" i="1" s="1"/>
  <c r="AG49" i="2"/>
  <c r="AH49" i="2"/>
  <c r="AG50" i="2"/>
  <c r="AH50" i="2"/>
  <c r="P7" i="1"/>
  <c r="H6" i="3" s="1"/>
  <c r="O7" i="1"/>
  <c r="Q7" i="1" s="1"/>
  <c r="N7" i="1"/>
  <c r="P29" i="1"/>
  <c r="H28" i="3" s="1"/>
  <c r="N29" i="1"/>
  <c r="O29" i="1"/>
  <c r="Q29" i="1" s="1"/>
  <c r="P23" i="1"/>
  <c r="H22" i="3" s="1"/>
  <c r="O23" i="1"/>
  <c r="Q23" i="1" s="1"/>
  <c r="N23" i="1"/>
  <c r="L12" i="1"/>
  <c r="AH44" i="2"/>
  <c r="AG44" i="2"/>
  <c r="AG52" i="2"/>
  <c r="AH52" i="2"/>
  <c r="AG55" i="2"/>
  <c r="AH55" i="2"/>
  <c r="AH46" i="2"/>
  <c r="AG46" i="2"/>
  <c r="N20" i="1"/>
  <c r="P20" i="1"/>
  <c r="H19" i="3" s="1"/>
  <c r="O20" i="1"/>
  <c r="Q20" i="1" s="1"/>
  <c r="L38" i="1"/>
  <c r="E4" i="1"/>
  <c r="H4" i="1"/>
  <c r="F4" i="1"/>
  <c r="G4" i="1"/>
  <c r="I4" i="1"/>
  <c r="O34" i="1"/>
  <c r="Q34" i="1" s="1"/>
  <c r="N34" i="1"/>
  <c r="P34" i="1"/>
  <c r="H33" i="3" s="1"/>
  <c r="L23" i="1"/>
  <c r="L9" i="1"/>
  <c r="G20" i="3"/>
  <c r="G17" i="3"/>
  <c r="G11" i="3"/>
  <c r="G33" i="3"/>
  <c r="C6" i="2" s="1"/>
  <c r="G39" i="3"/>
  <c r="G38" i="3"/>
  <c r="G35" i="3"/>
  <c r="G34" i="3"/>
  <c r="G37" i="3"/>
  <c r="G13" i="3"/>
  <c r="G12" i="3"/>
  <c r="G36" i="3"/>
  <c r="G40" i="3"/>
  <c r="Y7" i="2" l="1"/>
  <c r="V7" i="2"/>
  <c r="Y12" i="2"/>
  <c r="V12" i="2"/>
  <c r="V15" i="2"/>
  <c r="Y15" i="2"/>
  <c r="V14" i="2"/>
  <c r="Y14" i="2"/>
  <c r="Y6" i="2"/>
  <c r="V6" i="2"/>
  <c r="J11" i="2"/>
  <c r="C12" i="2"/>
  <c r="V11" i="2"/>
  <c r="Y11" i="2"/>
  <c r="Y3" i="2"/>
  <c r="V3" i="2"/>
  <c r="V5" i="2"/>
  <c r="Y5" i="2"/>
  <c r="V4" i="2"/>
  <c r="Y4" i="2"/>
  <c r="Y2" i="2"/>
  <c r="V2" i="2"/>
  <c r="C10" i="2"/>
  <c r="J9" i="2"/>
  <c r="Y13" i="2"/>
  <c r="V13" i="2"/>
  <c r="V10" i="2"/>
  <c r="Y10" i="2"/>
  <c r="C7" i="2"/>
  <c r="J6" i="2"/>
  <c r="Y1" i="2"/>
  <c r="V1" i="2"/>
  <c r="C8" i="2"/>
  <c r="J7" i="2"/>
  <c r="T4" i="1"/>
  <c r="P4" i="1"/>
  <c r="H3" i="3" s="1"/>
  <c r="N4" i="1"/>
  <c r="O4" i="1"/>
  <c r="Q4" i="1" s="1"/>
  <c r="Y9" i="2"/>
  <c r="V9" i="2"/>
  <c r="C1" i="2"/>
  <c r="V16" i="2"/>
  <c r="Y16" i="2"/>
  <c r="J12" i="2"/>
  <c r="M12" i="2" s="1"/>
  <c r="C13" i="2"/>
  <c r="L4" i="1"/>
  <c r="V8" i="2"/>
  <c r="Y8" i="2"/>
  <c r="C9" i="2"/>
  <c r="J8" i="2"/>
  <c r="J10" i="2"/>
  <c r="C11" i="2"/>
  <c r="I40" i="3"/>
  <c r="I13" i="3"/>
  <c r="I33" i="3"/>
  <c r="I36" i="3"/>
  <c r="I35" i="3"/>
  <c r="I39" i="3"/>
  <c r="I38" i="3"/>
  <c r="I34" i="3"/>
  <c r="I32" i="3"/>
  <c r="I12" i="3"/>
  <c r="I37" i="3"/>
  <c r="G3" i="3"/>
  <c r="G30" i="3"/>
  <c r="X16" i="2" s="1"/>
  <c r="AA16" i="2" s="1"/>
  <c r="G31" i="3"/>
  <c r="G29" i="3"/>
  <c r="G28" i="3"/>
  <c r="G27" i="3"/>
  <c r="G25" i="3"/>
  <c r="G16" i="3"/>
  <c r="X3" i="2" s="1"/>
  <c r="G26" i="3"/>
  <c r="G23" i="3"/>
  <c r="G19" i="3"/>
  <c r="Q3" i="2" s="1"/>
  <c r="G24" i="3"/>
  <c r="G21" i="3"/>
  <c r="G18" i="3"/>
  <c r="X4" i="2" s="1"/>
  <c r="G15" i="3"/>
  <c r="Q1" i="2" s="1"/>
  <c r="G22" i="3"/>
  <c r="G6" i="3"/>
  <c r="G5" i="3"/>
  <c r="G10" i="3"/>
  <c r="G14" i="3"/>
  <c r="G8" i="3"/>
  <c r="G9" i="3"/>
  <c r="G7" i="3"/>
  <c r="G4" i="3"/>
  <c r="X12" i="2" l="1"/>
  <c r="X11" i="2"/>
  <c r="Q5" i="2"/>
  <c r="F9" i="2"/>
  <c r="X8" i="2"/>
  <c r="F11" i="2"/>
  <c r="M10" i="2"/>
  <c r="AA3" i="2"/>
  <c r="M8" i="2"/>
  <c r="F12" i="2"/>
  <c r="X10" i="2"/>
  <c r="AA10" i="2" s="1"/>
  <c r="X15" i="2"/>
  <c r="AA15" i="2" s="1"/>
  <c r="X13" i="2"/>
  <c r="M6" i="2"/>
  <c r="X14" i="2"/>
  <c r="F7" i="2"/>
  <c r="AA11" i="2"/>
  <c r="X9" i="2"/>
  <c r="X1" i="2"/>
  <c r="M11" i="2"/>
  <c r="X6" i="2"/>
  <c r="F6" i="2"/>
  <c r="X2" i="2"/>
  <c r="AA2" i="2" s="1"/>
  <c r="Q2" i="2"/>
  <c r="T2" i="2" s="1"/>
  <c r="M9" i="2"/>
  <c r="F10" i="2"/>
  <c r="J5" i="2"/>
  <c r="M5" i="2" s="1"/>
  <c r="Q8" i="2"/>
  <c r="J3" i="2"/>
  <c r="C4" i="2"/>
  <c r="C5" i="2"/>
  <c r="F5" i="2" s="1"/>
  <c r="Q9" i="2"/>
  <c r="Q10" i="2"/>
  <c r="T10" i="2" s="1"/>
  <c r="X5" i="2"/>
  <c r="Q4" i="2"/>
  <c r="J1" i="2"/>
  <c r="C2" i="2"/>
  <c r="M7" i="2"/>
  <c r="F8" i="2"/>
  <c r="J2" i="2"/>
  <c r="Q6" i="2"/>
  <c r="C3" i="2"/>
  <c r="J4" i="2"/>
  <c r="Q7" i="2"/>
  <c r="X7" i="2"/>
  <c r="AA7" i="2" s="1"/>
  <c r="I3" i="3"/>
  <c r="I9" i="3"/>
  <c r="I10" i="3"/>
  <c r="I18" i="3"/>
  <c r="I6" i="3"/>
  <c r="I21" i="3"/>
  <c r="I25" i="3"/>
  <c r="I4" i="3"/>
  <c r="I5" i="3"/>
  <c r="I22" i="3"/>
  <c r="I14" i="3"/>
  <c r="I27" i="3"/>
  <c r="I8" i="3"/>
  <c r="I23" i="3"/>
  <c r="I7" i="3"/>
  <c r="I30" i="3"/>
  <c r="I15" i="3"/>
  <c r="I31" i="3"/>
  <c r="I19" i="3"/>
  <c r="I16" i="3"/>
  <c r="I17" i="3"/>
  <c r="I29" i="3"/>
  <c r="I11" i="3"/>
  <c r="I24" i="3"/>
  <c r="I20" i="3"/>
  <c r="I26" i="3"/>
  <c r="I28" i="3"/>
  <c r="T4" i="2" l="1"/>
  <c r="AA9" i="2"/>
  <c r="AA14" i="2"/>
  <c r="M3" i="2"/>
  <c r="F4" i="2"/>
  <c r="AA13" i="2"/>
  <c r="F2" i="2"/>
  <c r="M1" i="2"/>
  <c r="AA12" i="2"/>
  <c r="AA5" i="2"/>
  <c r="I9" i="2"/>
  <c r="B10" i="2"/>
  <c r="I12" i="2"/>
  <c r="B13" i="2"/>
  <c r="I10" i="2"/>
  <c r="B11" i="2"/>
  <c r="T9" i="2"/>
  <c r="T8" i="2"/>
  <c r="F1" i="2"/>
  <c r="AA6" i="2"/>
  <c r="T3" i="2"/>
  <c r="T7" i="2"/>
  <c r="AA4" i="2"/>
  <c r="M4" i="2"/>
  <c r="AA1" i="2"/>
  <c r="I7" i="2"/>
  <c r="B8" i="2"/>
  <c r="F3" i="2"/>
  <c r="B9" i="2"/>
  <c r="I8" i="2"/>
  <c r="T6" i="2"/>
  <c r="B12" i="2"/>
  <c r="I11" i="2"/>
  <c r="M2" i="2"/>
  <c r="T5" i="2"/>
  <c r="AA8" i="2"/>
  <c r="B6" i="2"/>
  <c r="B7" i="2"/>
  <c r="I6" i="2"/>
  <c r="T1" i="2"/>
  <c r="B5" i="2"/>
  <c r="E5" i="2" s="1"/>
  <c r="E9" i="2" l="1"/>
  <c r="W8" i="2"/>
  <c r="L8" i="2"/>
  <c r="E6" i="2"/>
  <c r="E8" i="2"/>
  <c r="E7" i="2"/>
  <c r="W6" i="2"/>
  <c r="L10" i="2"/>
  <c r="W2" i="2"/>
  <c r="E12" i="2"/>
  <c r="W16" i="2"/>
  <c r="W14" i="2"/>
  <c r="L7" i="2"/>
  <c r="W4" i="2"/>
  <c r="B3" i="2"/>
  <c r="E3" i="2" s="1"/>
  <c r="P6" i="2"/>
  <c r="I2" i="2"/>
  <c r="W11" i="2"/>
  <c r="P1" i="2"/>
  <c r="W1" i="2"/>
  <c r="Z1" i="2" s="1"/>
  <c r="P9" i="2"/>
  <c r="B59" i="2"/>
  <c r="Z16" i="2" s="1"/>
  <c r="I4" i="2"/>
  <c r="L4" i="2" s="1"/>
  <c r="P3" i="2"/>
  <c r="W5" i="2"/>
  <c r="Z5" i="2" s="1"/>
  <c r="B1" i="2"/>
  <c r="P2" i="2"/>
  <c r="W3" i="2"/>
  <c r="Z3" i="2" s="1"/>
  <c r="P10" i="2"/>
  <c r="S10" i="2" s="1"/>
  <c r="B2" i="2"/>
  <c r="P4" i="2"/>
  <c r="I1" i="2"/>
  <c r="W7" i="2"/>
  <c r="Z7" i="2" s="1"/>
  <c r="P7" i="2"/>
  <c r="W13" i="2"/>
  <c r="E11" i="2"/>
  <c r="P5" i="2"/>
  <c r="W9" i="2"/>
  <c r="Z8" i="2" s="1"/>
  <c r="W10" i="2"/>
  <c r="L6" i="2"/>
  <c r="B4" i="2"/>
  <c r="E4" i="2" s="1"/>
  <c r="P8" i="2"/>
  <c r="I3" i="2"/>
  <c r="W15" i="2"/>
  <c r="Z15" i="2" s="1"/>
  <c r="W12" i="2"/>
  <c r="I5" i="2"/>
  <c r="L5" i="2" s="1"/>
  <c r="E10" i="2"/>
  <c r="L9" i="2"/>
  <c r="E2" i="2" l="1"/>
  <c r="E1" i="2"/>
  <c r="L1" i="2"/>
  <c r="S7" i="2"/>
  <c r="Z13" i="2"/>
  <c r="Z14" i="2"/>
  <c r="S2" i="2"/>
  <c r="S5" i="2"/>
  <c r="S4" i="2"/>
  <c r="S3" i="2"/>
  <c r="Z12" i="2"/>
  <c r="Z2" i="2"/>
  <c r="Z6" i="2"/>
  <c r="S9" i="2"/>
  <c r="S1" i="2"/>
  <c r="L3" i="2"/>
  <c r="S8" i="2"/>
  <c r="Z11" i="2"/>
  <c r="L2" i="2"/>
  <c r="S6" i="2"/>
  <c r="Z10" i="2"/>
  <c r="Z9" i="2"/>
  <c r="Z4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<sst xmlns="http://schemas.openxmlformats.org/spreadsheetml/2006/main" count="77" uniqueCount="67">
  <si>
    <t>Date:</t>
  </si>
  <si>
    <t>Exchange</t>
  </si>
  <si>
    <t>B3</t>
  </si>
  <si>
    <t>Contract</t>
  </si>
  <si>
    <t>Code</t>
  </si>
  <si>
    <t>ID</t>
  </si>
  <si>
    <t>BidQty</t>
  </si>
  <si>
    <t>Bid</t>
  </si>
  <si>
    <t>Ask</t>
  </si>
  <si>
    <t>AskQty</t>
  </si>
  <si>
    <t>Settle</t>
  </si>
  <si>
    <t>MaturityDate</t>
  </si>
  <si>
    <t>Days</t>
  </si>
  <si>
    <t>Live Price</t>
  </si>
  <si>
    <t>PV</t>
  </si>
  <si>
    <t>PU</t>
  </si>
  <si>
    <t>DVO1</t>
  </si>
  <si>
    <t>Decay</t>
  </si>
  <si>
    <t>DI1F27</t>
  </si>
  <si>
    <t>DI1F28</t>
  </si>
  <si>
    <t>DI1F29</t>
  </si>
  <si>
    <t>DI1F30</t>
  </si>
  <si>
    <t>DI1F31</t>
  </si>
  <si>
    <t>DI1F32</t>
  </si>
  <si>
    <t>DI1F33</t>
  </si>
  <si>
    <t>DI1F34</t>
  </si>
  <si>
    <t>DI1F35</t>
  </si>
  <si>
    <t>DI1F36</t>
  </si>
  <si>
    <t>DI1F37</t>
  </si>
  <si>
    <t>DI1F38</t>
  </si>
  <si>
    <t>DI1F39</t>
  </si>
  <si>
    <t>DI1F40</t>
  </si>
  <si>
    <t>DI1N27</t>
  </si>
  <si>
    <t>DI1N28</t>
  </si>
  <si>
    <t>DI1N29</t>
  </si>
  <si>
    <t>DI1N30</t>
  </si>
  <si>
    <t>DI1N31</t>
  </si>
  <si>
    <t>Contract Start Date</t>
  </si>
  <si>
    <t>Start month</t>
  </si>
  <si>
    <t>Contract Name</t>
  </si>
  <si>
    <t xml:space="preserve">Contract </t>
  </si>
  <si>
    <t>Holidays</t>
  </si>
  <si>
    <t>Vlookup Table</t>
  </si>
  <si>
    <t>Jan</t>
  </si>
  <si>
    <t>F</t>
  </si>
  <si>
    <t>Feb</t>
  </si>
  <si>
    <t>G</t>
  </si>
  <si>
    <t>Mar</t>
  </si>
  <si>
    <t>H</t>
  </si>
  <si>
    <t>Apr</t>
  </si>
  <si>
    <t>J</t>
  </si>
  <si>
    <t>May</t>
  </si>
  <si>
    <t>K</t>
  </si>
  <si>
    <t>Jun</t>
  </si>
  <si>
    <t>M</t>
  </si>
  <si>
    <t>Jul</t>
  </si>
  <si>
    <t>N</t>
  </si>
  <si>
    <t>Aug</t>
  </si>
  <si>
    <t>Q</t>
  </si>
  <si>
    <t>Sep</t>
  </si>
  <si>
    <t>U</t>
  </si>
  <si>
    <t>Oct</t>
  </si>
  <si>
    <t>V</t>
  </si>
  <si>
    <t>Nov</t>
  </si>
  <si>
    <t>X</t>
  </si>
  <si>
    <t>Dec</t>
  </si>
  <si>
    <t>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</si>
</sst>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_);[Red]\(0.00\)"/>
    <numFmt numFmtId="165" formatCode="0.000_);[Red]\(0.000\)"/>
  </numFmts>
  <fonts count="2" x14ac:knownFonts="1">
    <font>
      <sz val="11"/>
      <color theme="1"/>
      <name val="Aptos Narrow"/>
      <family val="2"/>
      <scheme val="minor"/>
    </font>
    <font>
      <b/>
      <sz val="11"/>
      <color theme="4" tint="-0.249977111117893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69">
    <xf numFmtId="0" fontId="0" fillId="0" borderId="0" xfId="0"/>
    <xf numFmtId="0" fontId="0" fillId="0" borderId="0" xfId="0" applyAlignment="1">
      <alignment horizontal="center" vertical="center"/>
    </xf>
    <xf numFmtId="14" fontId="0" fillId="2" borderId="0" xfId="0" applyNumberFormat="1" applyFill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164" fontId="0" fillId="0" borderId="2" xfId="0" applyNumberFormat="1" applyBorder="1" applyAlignment="1">
      <alignment horizontal="center" vertical="center"/>
    </xf>
    <xf numFmtId="2" fontId="0" fillId="0" borderId="3" xfId="0" applyNumberFormat="1" applyBorder="1" applyAlignment="1">
      <alignment horizontal="center" vertical="center"/>
    </xf>
    <xf numFmtId="2" fontId="0" fillId="0" borderId="2" xfId="0" applyNumberForma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164" fontId="0" fillId="0" borderId="5" xfId="0" applyNumberFormat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" fontId="0" fillId="0" borderId="5" xfId="0" applyNumberForma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14" fontId="0" fillId="0" borderId="7" xfId="0" applyNumberFormat="1" applyBorder="1" applyAlignment="1">
      <alignment horizontal="center" vertical="center"/>
    </xf>
    <xf numFmtId="2" fontId="0" fillId="0" borderId="8" xfId="0" applyNumberFormat="1" applyBorder="1" applyAlignment="1">
      <alignment horizontal="center" vertical="center"/>
    </xf>
    <xf numFmtId="2" fontId="0" fillId="0" borderId="7" xfId="0" applyNumberForma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164" fontId="0" fillId="0" borderId="7" xfId="0" applyNumberFormat="1" applyBorder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5" fontId="0" fillId="0" borderId="3" xfId="0" applyNumberFormat="1" applyBorder="1" applyAlignment="1">
      <alignment horizontal="center" vertical="center"/>
    </xf>
    <xf numFmtId="164" fontId="0" fillId="0" borderId="3" xfId="0" applyNumberFormat="1" applyBorder="1" applyAlignment="1">
      <alignment horizontal="center" vertical="center"/>
    </xf>
    <xf numFmtId="2" fontId="0" fillId="3" borderId="5" xfId="0" applyNumberFormat="1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165" fontId="0" fillId="0" borderId="8" xfId="0" applyNumberFormat="1" applyBorder="1" applyAlignment="1">
      <alignment horizontal="center" vertical="center"/>
    </xf>
    <xf numFmtId="164" fontId="0" fillId="0" borderId="8" xfId="0" applyNumberForma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2" fontId="0" fillId="0" borderId="12" xfId="0" applyNumberFormat="1" applyBorder="1" applyAlignment="1">
      <alignment horizontal="center" vertical="center"/>
    </xf>
    <xf numFmtId="2" fontId="0" fillId="0" borderId="10" xfId="0" applyNumberFormat="1" applyBorder="1" applyAlignment="1">
      <alignment horizontal="center" vertical="center"/>
    </xf>
    <xf numFmtId="2" fontId="0" fillId="0" borderId="11" xfId="0" applyNumberFormat="1" applyBorder="1" applyAlignment="1">
      <alignment horizontal="center" vertical="center"/>
    </xf>
    <xf numFmtId="0" fontId="0" fillId="4" borderId="13" xfId="0" applyFill="1" applyBorder="1" applyAlignment="1">
      <alignment horizontal="center" vertical="center"/>
    </xf>
    <xf numFmtId="14" fontId="0" fillId="4" borderId="14" xfId="0" applyNumberFormat="1" applyFill="1" applyBorder="1" applyAlignment="1">
      <alignment horizontal="center" vertical="center"/>
    </xf>
    <xf numFmtId="0" fontId="0" fillId="4" borderId="14" xfId="0" applyFill="1" applyBorder="1" applyAlignment="1">
      <alignment horizontal="center" vertical="center"/>
    </xf>
    <xf numFmtId="0" fontId="0" fillId="4" borderId="15" xfId="0" applyFill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4" fontId="0" fillId="0" borderId="19" xfId="0" applyNumberFormat="1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14" fontId="0" fillId="0" borderId="22" xfId="0" applyNumberFormat="1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14" fontId="0" fillId="0" borderId="27" xfId="0" applyNumberFormat="1" applyBorder="1" applyAlignment="1">
      <alignment horizontal="center" vertical="center"/>
    </xf>
    <xf numFmtId="165" fontId="0" fillId="0" borderId="0" xfId="0" applyNumberFormat="1"/>
    <xf numFmtId="0" fontId="0" fillId="0" borderId="3" xfId="0" applyBorder="1"/>
    <xf numFmtId="165" fontId="0" fillId="0" borderId="4" xfId="0" applyNumberFormat="1" applyBorder="1"/>
    <xf numFmtId="165" fontId="0" fillId="0" borderId="6" xfId="0" applyNumberFormat="1" applyBorder="1"/>
    <xf numFmtId="0" fontId="0" fillId="0" borderId="8" xfId="0" applyBorder="1"/>
    <xf numFmtId="165" fontId="0" fillId="0" borderId="9" xfId="0" applyNumberFormat="1" applyBorder="1"/>
    <xf numFmtId="164" fontId="0" fillId="0" borderId="4" xfId="0" applyNumberFormat="1" applyBorder="1" applyAlignment="1">
      <alignment horizontal="center" vertical="center"/>
    </xf>
    <xf numFmtId="164" fontId="0" fillId="0" borderId="6" xfId="0" applyNumberFormat="1" applyBorder="1" applyAlignment="1">
      <alignment horizontal="center" vertical="center"/>
    </xf>
    <xf numFmtId="164" fontId="0" fillId="0" borderId="9" xfId="0" applyNumberFormat="1" applyBorder="1" applyAlignment="1">
      <alignment horizontal="center" vertical="center"/>
    </xf>
    <xf numFmtId="165" fontId="0" fillId="0" borderId="4" xfId="0" applyNumberFormat="1" applyBorder="1" applyAlignment="1">
      <alignment horizontal="center" vertical="center"/>
    </xf>
    <xf numFmtId="165" fontId="0" fillId="0" borderId="6" xfId="0" applyNumberFormat="1" applyBorder="1" applyAlignment="1">
      <alignment horizontal="center" vertical="center"/>
    </xf>
    <xf numFmtId="165" fontId="0" fillId="0" borderId="9" xfId="0" applyNumberForma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tt.rtd">
      <tp t="s">
        <v>13.246</v>
        <stp/>
        <stp>5854173501169453927</stp>
        <stp>Settle</stp>
        <tr r="I20" s="1"/>
      </tp>
      <tp t="s">
        <v>13.242</v>
        <stp/>
        <stp>1241034196156492141</stp>
        <stp>Settle</stp>
        <tr r="I26" s="1"/>
      </tp>
      <tp t="s">
        <v>13.333</v>
        <stp/>
        <stp>2708352484623619068</stp>
        <stp>Settle</stp>
        <tr r="I32" s="1"/>
      </tp>
      <tp t="s">
        <v>14.313</v>
        <stp/>
        <stp>3543554736820970695</stp>
        <stp>Settle</stp>
        <tr r="I7" s="1"/>
      </tp>
      <tp t="s">
        <v>14.398</v>
        <stp/>
        <stp>4308256969868171920</stp>
        <stp>Settle</stp>
        <tr r="I6" s="1"/>
      </tp>
      <tp t="s">
        <v>13.888</v>
        <stp/>
        <stp>2572527398927182557</stp>
        <stp>Settle</stp>
        <tr r="I14" s="1"/>
      </tp>
      <tp t="s">
        <v>13.827</v>
        <stp/>
        <stp>6667533323116404583</stp>
        <stp>Settle</stp>
        <tr r="I15" s="1"/>
      </tp>
      <tp t="s">
        <v>14.468</v>
        <stp/>
        <stp>6349657410249189749</stp>
        <stp>Settle</stp>
        <tr r="I5" s="1"/>
      </tp>
      <tp t="s">
        <v>13.437</v>
        <stp/>
        <stp>6444576488533873261</stp>
        <stp>Settle</stp>
        <tr r="I37" s="1"/>
      </tp>
      <tp t="s">
        <v>13.432</v>
        <stp/>
        <stp>1101190791973221236</stp>
        <stp>Settle</stp>
        <tr r="I40" s="1"/>
      </tp>
      <tp t="s">
        <v>13.221</v>
        <stp/>
        <stp>4900375261969717634</stp>
        <stp>Settle</stp>
        <tr r="I24" s="1"/>
      </tp>
      <tp t="s">
        <v>14.102</v>
        <stp/>
        <stp>3062018159838013665</stp>
        <stp>Settle</stp>
        <tr r="I10" s="1"/>
      </tp>
      <tp t="s">
        <v>14.634</v>
        <stp/>
        <stp>6830951289805470595</stp>
        <stp>Settle</stp>
        <tr r="I4" s="1"/>
      </tp>
      <tp t="s">
        <v>13.222</v>
        <stp/>
        <stp>1467101705448099047</stp>
        <stp>Settle</stp>
        <tr r="I21" s="1"/>
      </tp>
      <tp t="s">
        <v>13.200</v>
        <stp/>
        <stp>7804222143105039987</stp>
        <stp>Settle</stp>
        <tr r="I22" s="1"/>
      </tp>
      <tp t="s">
        <v>14.054</v>
        <stp/>
        <stp>3011409362963908888</stp>
        <stp>Settle</stp>
        <tr r="I11" s="1"/>
      </tp>
      <tp t="s">
        <v>13.450</v>
        <stp/>
        <stp>3740716625392523611</stp>
        <stp>Settle</stp>
        <tr r="I39" s="1"/>
      </tp>
      <tp t="s">
        <v>13.298</v>
        <stp/>
        <stp>5289708689298979968</stp>
        <stp>Settle</stp>
        <tr r="I30" s="1"/>
      </tp>
      <tp t="s">
        <v>13.301</v>
        <stp/>
        <stp>5352545927749150301</stp>
        <stp>Settle</stp>
        <tr r="I19" s="1"/>
      </tp>
      <tp t="s">
        <v>13.988</v>
        <stp/>
        <stp>6947687583888825095</stp>
        <stp>Settle</stp>
        <tr r="I12" s="1"/>
      </tp>
      <tp t="s">
        <v>14.225</v>
        <stp/>
        <stp>7176047761201419741</stp>
        <stp>Settle</stp>
        <tr r="I8" s="1"/>
      </tp>
      <tp t="s">
        <v>13.443</v>
        <stp/>
        <stp>6962089539273648642</stp>
        <stp>Settle</stp>
        <tr r="I36" s="1"/>
      </tp>
      <tp t="s">
        <v>13.208</v>
        <stp/>
        <stp>1555274955611157900</stp>
        <stp>Settle</stp>
        <tr r="I23" s="1"/>
      </tp>
      <tp>
        <v>0</v>
        <stp/>
        <stp>6349657410249189749</stp>
        <stp>BidQty</stp>
        <tr r="E5" s="1"/>
      </tp>
      <tp>
        <v>0</v>
        <stp/>
        <stp>6349657410249189749</stp>
        <stp>AskQty</stp>
        <tr r="H5" s="1"/>
      </tp>
      <tp>
        <v>0</v>
        <stp/>
        <stp>6444576488533873261</stp>
        <stp>BidQty</stp>
        <tr r="E37" s="1"/>
      </tp>
      <tp>
        <v>0</v>
        <stp/>
        <stp>1101190791973221236</stp>
        <stp>AskQty</stp>
        <tr r="H40" s="1"/>
      </tp>
      <tp>
        <v>0</v>
        <stp/>
        <stp>1101190791973221236</stp>
        <stp>BidQty</stp>
        <tr r="E40" s="1"/>
      </tp>
      <tp>
        <v>0</v>
        <stp/>
        <stp>6444576488533873261</stp>
        <stp>AskQty</stp>
        <tr r="H37" s="1"/>
      </tp>
      <tp>
        <v>90</v>
        <stp/>
        <stp>6667533323116404583</stp>
        <stp>BidQty</stp>
        <tr r="E15" s="1"/>
      </tp>
      <tp>
        <v>90</v>
        <stp/>
        <stp>6667533323116404583</stp>
        <stp>AskQty</stp>
        <tr r="H15" s="1"/>
      </tp>
      <tp>
        <v>0</v>
        <stp/>
        <stp>2572527398927182557</stp>
        <stp>AskQty</stp>
        <tr r="H14" s="1"/>
      </tp>
      <tp>
        <v>0</v>
        <stp/>
        <stp>2572527398927182557</stp>
        <stp>BidQty</stp>
        <tr r="E14" s="1"/>
      </tp>
      <tp>
        <v>0</v>
        <stp/>
        <stp>6830951289805470595</stp>
        <stp>BidQty</stp>
        <tr r="E4" s="1"/>
      </tp>
      <tp>
        <v>0</v>
        <stp/>
        <stp>6830951289805470595</stp>
        <stp>AskQty</stp>
        <tr r="H4" s="1"/>
      </tp>
      <tp>
        <v>62</v>
        <stp/>
        <stp>4900375261969717634</stp>
        <stp>BidQty</stp>
        <tr r="E24" s="1"/>
      </tp>
      <tp>
        <v>62</v>
        <stp/>
        <stp>4900375261969717634</stp>
        <stp>AskQty</stp>
        <tr r="H24" s="1"/>
      </tp>
      <tp>
        <v>0</v>
        <stp/>
        <stp>3062018159838013665</stp>
        <stp>AskQty</stp>
        <tr r="H10" s="1"/>
      </tp>
      <tp>
        <v>0</v>
        <stp/>
        <stp>3062018159838013665</stp>
        <stp>BidQty</stp>
        <tr r="E10" s="1"/>
      </tp>
      <tp>
        <v>10</v>
        <stp/>
        <stp>5854173501169453927</stp>
        <stp>AskQty</stp>
        <tr r="H20" s="1"/>
      </tp>
      <tp>
        <v>61</v>
        <stp/>
        <stp>5854173501169453927</stp>
        <stp>BidQty</stp>
        <tr r="E20" s="1"/>
      </tp>
      <tp>
        <v>2000</v>
        <stp/>
        <stp>4308256969868171920</stp>
        <stp>AskQty</stp>
        <tr r="H6" s="1"/>
      </tp>
      <tp>
        <v>0</v>
        <stp/>
        <stp>3543554736820970695</stp>
        <stp>BidQty</stp>
        <tr r="E7" s="1"/>
      </tp>
      <tp>
        <v>0</v>
        <stp/>
        <stp>3543554736820970695</stp>
        <stp>AskQty</stp>
        <tr r="H7" s="1"/>
      </tp>
      <tp>
        <v>0</v>
        <stp/>
        <stp>4308256969868171920</stp>
        <stp>BidQty</stp>
        <tr r="E6" s="1"/>
      </tp>
      <tp>
        <v>52</v>
        <stp/>
        <stp>1241034196156492141</stp>
        <stp>BidQty</stp>
        <tr r="E26" s="1"/>
      </tp>
      <tp>
        <v>50</v>
        <stp/>
        <stp>1241034196156492141</stp>
        <stp>AskQty</stp>
        <tr r="H26" s="1"/>
      </tp>
      <tp>
        <v>0</v>
        <stp/>
        <stp>2708352484623619068</stp>
        <stp>BidQty</stp>
        <tr r="E32" s="1"/>
      </tp>
      <tp>
        <v>0</v>
        <stp/>
        <stp>2708352484623619068</stp>
        <stp>AskQty</stp>
        <tr r="H32" s="1"/>
      </tp>
      <tp>
        <v>0</v>
        <stp/>
        <stp>7176047761201419741</stp>
        <stp>BidQty</stp>
        <tr r="E8" s="1"/>
      </tp>
      <tp>
        <v>0</v>
        <stp/>
        <stp>7176047761201419741</stp>
        <stp>AskQty</stp>
        <tr r="H8" s="1"/>
      </tp>
      <tp>
        <v>5</v>
        <stp/>
        <stp>6962089539273648642</stp>
        <stp>AskQty</stp>
        <tr r="H36" s="1"/>
      </tp>
      <tp>
        <v>102</v>
        <stp/>
        <stp>6962089539273648642</stp>
        <stp>BidQty</stp>
        <tr r="E36" s="1"/>
      </tp>
    </main>
    <main first="tt.rtd">
      <tp>
        <v>0</v>
        <stp/>
        <stp>1555274955611157900</stp>
        <stp>BidQty</stp>
        <tr r="E23" s="1"/>
      </tp>
      <tp>
        <v>0</v>
        <stp/>
        <stp>1555274955611157900</stp>
        <stp>AskQty</stp>
        <tr r="H23" s="1"/>
      </tp>
      <tp>
        <v>0</v>
        <stp/>
        <stp>3740716625392523611</stp>
        <stp>BidQty</stp>
        <tr r="E39" s="1"/>
      </tp>
      <tp>
        <v>0</v>
        <stp/>
        <stp>3740716625392523611</stp>
        <stp>AskQty</stp>
        <tr r="H39" s="1"/>
      </tp>
      <tp>
        <v>61</v>
        <stp/>
        <stp>7804222143105039987</stp>
        <stp>AskQty</stp>
        <tr r="H22" s="1"/>
      </tp>
      <tp>
        <v>318</v>
        <stp/>
        <stp>7804222143105039987</stp>
        <stp>BidQty</stp>
        <tr r="E22" s="1"/>
      </tp>
      <tp>
        <v>0</v>
        <stp/>
        <stp>3011409362963908888</stp>
        <stp>BidQty</stp>
        <tr r="E11" s="1"/>
      </tp>
      <tp>
        <v>0</v>
        <stp/>
        <stp>3011409362963908888</stp>
        <stp>AskQty</stp>
        <tr r="H11" s="1"/>
      </tp>
      <tp>
        <v>0</v>
        <stp/>
        <stp>1467101705448099047</stp>
        <stp>AskQty</stp>
        <tr r="H21" s="1"/>
      </tp>
      <tp>
        <v>0</v>
        <stp/>
        <stp>1467101705448099047</stp>
        <stp>BidQty</stp>
        <tr r="E21" s="1"/>
      </tp>
      <tp>
        <v>36</v>
        <stp/>
        <stp>6947687583888825095</stp>
        <stp>AskQty</stp>
        <tr r="H12" s="1"/>
      </tp>
      <tp>
        <v>1666</v>
        <stp/>
        <stp>6947687583888825095</stp>
        <stp>BidQty</stp>
        <tr r="E12" s="1"/>
      </tp>
      <tp>
        <v>70</v>
        <stp/>
        <stp>5352545927749150301</stp>
        <stp>AskQty</stp>
        <tr r="H19" s="1"/>
      </tp>
      <tp>
        <v>210</v>
        <stp/>
        <stp>5289708689298979968</stp>
        <stp>BidQty</stp>
        <tr r="E30" s="1"/>
      </tp>
      <tp>
        <v>97</v>
        <stp/>
        <stp>5289708689298979968</stp>
        <stp>AskQty</stp>
        <tr r="H30" s="1"/>
      </tp>
      <tp>
        <v>70</v>
        <stp/>
        <stp>5352545927749150301</stp>
        <stp>BidQty</stp>
        <tr r="E19" s="1"/>
      </tp>
      <tp t="s">
        <v>13.423</v>
        <stp/>
        <stp>16049534290115909079</stp>
        <stp>Settle</stp>
        <tr r="I34" s="1"/>
      </tp>
      <tp t="s">
        <v>13.415</v>
        <stp/>
        <stp>12183633319855756998</stp>
        <stp>Settle</stp>
        <tr r="I41" s="1"/>
      </tp>
      <tp>
        <v>10</v>
        <stp/>
        <stp>49896872476011958</stp>
        <stp>BidQty</stp>
        <tr r="E27" s="1"/>
      </tp>
      <tp>
        <v>0</v>
        <stp/>
        <stp>49896872476011958</stp>
        <stp>AskQty</stp>
        <tr r="H27" s="1"/>
      </tp>
      <tp t="s">
        <v>13.936</v>
        <stp/>
        <stp>11528461929651083064</stp>
        <stp>Settle</stp>
        <tr r="I13" s="1"/>
      </tp>
      <tp t="s">
        <v>12183633319855756998</v>
        <stp/>
        <stp>Inst</stp>
        <stp>B3</stp>
        <stp>DI1F40</stp>
        <tr r="D41" s="1"/>
      </tp>
      <tp t="s">
        <v>6962089539273648642</v>
        <stp/>
        <stp>Inst</stp>
        <stp>B3</stp>
        <stp>DI1F35</stp>
        <tr r="D36" s="1"/>
      </tp>
      <tp t="s">
        <v>10009254566921457783</v>
        <stp/>
        <stp>Inst</stp>
        <stp>B3</stp>
        <stp>DI1F34</stp>
        <tr r="D35" s="1"/>
      </tp>
      <tp t="s">
        <v>13659944186236004212</v>
        <stp/>
        <stp>Inst</stp>
        <stp>B3</stp>
        <stp>DI1F37</stp>
        <tr r="D38" s="1"/>
      </tp>
      <tp t="s">
        <v>6444576488533873261</v>
        <stp/>
        <stp>Inst</stp>
        <stp>B3</stp>
        <stp>DI1F36</stp>
        <tr r="D37" s="1"/>
      </tp>
      <tp t="s">
        <v>5289708689298979968</v>
        <stp/>
        <stp>Inst</stp>
        <stp>B3</stp>
        <stp>DI1F31</stp>
        <tr r="D30" s="1"/>
      </tp>
      <tp t="s">
        <v>1241034196156492141</v>
        <stp/>
        <stp>Inst</stp>
        <stp>B3</stp>
        <stp>DI1F30</stp>
        <tr r="D26" s="1"/>
      </tp>
      <tp t="s">
        <v>16049534290115909079</v>
        <stp/>
        <stp>Inst</stp>
        <stp>B3</stp>
        <stp>DI1F33</stp>
        <tr r="D34" s="1"/>
      </tp>
      <tp t="s">
        <v>15346196232291796739</v>
        <stp/>
        <stp>Inst</stp>
        <stp>B3</stp>
        <stp>DI1F32</stp>
        <tr r="D33" s="1"/>
      </tp>
      <tp t="s">
        <v>1101190791973221236</v>
        <stp/>
        <stp>Inst</stp>
        <stp>B3</stp>
        <stp>DI1F39</stp>
        <tr r="D40" s="1"/>
      </tp>
      <tp t="s">
        <v>3740716625392523611</v>
        <stp/>
        <stp>Inst</stp>
        <stp>B3</stp>
        <stp>DI1F38</stp>
        <tr r="D39" s="1"/>
      </tp>
      <tp t="s">
        <v>6947687583888825095</v>
        <stp/>
        <stp>Inst</stp>
        <stp>B3</stp>
        <stp>DI1F27</stp>
        <tr r="D12" s="1"/>
      </tp>
      <tp t="s">
        <v>7804222143105039987</v>
        <stp/>
        <stp>Inst</stp>
        <stp>B3</stp>
        <stp>DI1F29</stp>
        <tr r="D22" s="1"/>
      </tp>
      <tp t="s">
        <v>16630883641985446084</v>
        <stp/>
        <stp>Inst</stp>
        <stp>B3</stp>
        <stp>DI1F28</stp>
        <tr r="D18" s="1"/>
      </tp>
      <tp t="s">
        <v>14.161</v>
        <stp/>
        <stp>10014664349356694569</stp>
        <stp>Settle</stp>
        <tr r="I9" s="1"/>
      </tp>
      <tp t="s">
        <v>11528461929651083064</v>
        <stp/>
        <stp>Inst</stp>
        <stp>B3</stp>
        <stp>DI1G27</stp>
        <tr r="D13" s="1"/>
      </tp>
      <tp t="s">
        <v>13.649</v>
        <stp/>
        <stp>14170903681535090898</stp>
        <stp>Settle</stp>
        <tr r="I16" s="1"/>
      </tp>
      <tp t="s">
        <v>13.275</v>
        <stp/>
        <stp>14692557659821352817</stp>
        <stp>Settle</stp>
        <tr r="I29" s="1"/>
      </tp>
      <tp t="s">
        <v>13.378</v>
        <stp/>
        <stp>15346196232291796739</stp>
        <stp>Settle</stp>
        <tr r="I33" s="1"/>
      </tp>
      <tp t="s">
        <v>16149570627125062398</v>
        <stp/>
        <stp>Inst</stp>
        <stp>B3</stp>
        <stp>DI1J31</stp>
        <tr r="D31" s="1"/>
      </tp>
      <tp t="s">
        <v>49896872476011958</v>
        <stp/>
        <stp>Inst</stp>
        <stp>B3</stp>
        <stp>DI1J30</stp>
        <tr r="D27" s="1"/>
      </tp>
      <tp t="s">
        <v>6667533323116404583</v>
        <stp/>
        <stp>Inst</stp>
        <stp>B3</stp>
        <stp>DI1J27</stp>
        <tr r="D15" s="1"/>
      </tp>
      <tp t="s">
        <v>1555274955611157900</v>
        <stp/>
        <stp>Inst</stp>
        <stp>B3</stp>
        <stp>DI1J29</stp>
        <tr r="D23" s="1"/>
      </tp>
      <tp t="s">
        <v>5352545927749150301</v>
        <stp/>
        <stp>Inst</stp>
        <stp>B3</stp>
        <stp>DI1J28</stp>
        <tr r="D19" s="1"/>
      </tp>
      <tp t="s">
        <v>6830951289805470595</v>
        <stp/>
        <stp>Inst</stp>
        <stp>B3</stp>
        <stp>DI1K26</stp>
        <tr r="D4" s="1"/>
      </tp>
      <tp t="s">
        <v>13.441</v>
        <stp/>
        <stp>10009254566921457783</stp>
        <stp>Settle</stp>
        <tr r="I35" s="1"/>
      </tp>
      <tp t="s">
        <v>2572527398927182557</v>
        <stp/>
        <stp>Inst</stp>
        <stp>B3</stp>
        <stp>DI1H27</stp>
        <tr r="D14" s="1"/>
      </tp>
      <tp t="s">
        <v>13.379</v>
        <stp/>
        <stp>16630883641985446084</stp>
        <stp>Settle</stp>
        <tr r="I18" s="1"/>
      </tp>
      <tp t="s">
        <v>13.229</v>
        <stp/>
        <stp>12026219287793565681</stp>
        <stp>Settle</stp>
        <tr r="I25" s="1"/>
      </tp>
      <tp t="s">
        <v>13.313</v>
        <stp/>
        <stp>16149570627125062398</stp>
        <stp>Settle</stp>
        <tr r="I31" s="1"/>
      </tp>
      <tp t="s">
        <v>13.265</v>
        <stp/>
        <stp>15059569274646670796</stp>
        <stp>Settle</stp>
        <tr r="I28" s="1"/>
      </tp>
      <tp t="s">
        <v>13.460</v>
        <stp/>
        <stp>13659944186236004212</stp>
        <stp>Settle</stp>
        <tr r="I38" s="1"/>
      </tp>
      <tp t="s">
        <v>2708352484623619068</v>
        <stp/>
        <stp>Inst</stp>
        <stp>B3</stp>
        <stp>DI1N31</stp>
        <tr r="D32" s="1"/>
      </tp>
      <tp t="s">
        <v>15059569274646670796</v>
        <stp/>
        <stp>Inst</stp>
        <stp>B3</stp>
        <stp>DI1N30</stp>
        <tr r="D28" s="1"/>
      </tp>
      <tp t="s">
        <v>14170903681535090898</v>
        <stp/>
        <stp>Inst</stp>
        <stp>B3</stp>
        <stp>DI1N27</stp>
        <tr r="D16" s="1"/>
      </tp>
      <tp t="s">
        <v>4308256969868171920</v>
        <stp/>
        <stp>Inst</stp>
        <stp>B3</stp>
        <stp>DI1N26</stp>
        <tr r="D6" s="1"/>
      </tp>
      <tp t="s">
        <v>4900375261969717634</v>
        <stp/>
        <stp>Inst</stp>
        <stp>B3</stp>
        <stp>DI1N29</stp>
        <tr r="D24" s="1"/>
      </tp>
      <tp t="s">
        <v>5854173501169453927</v>
        <stp/>
        <stp>Inst</stp>
        <stp>B3</stp>
        <stp>DI1N28</stp>
        <tr r="D20" s="1"/>
      </tp>
      <tp t="s">
        <v>13.510</v>
        <stp/>
        <stp>16094481866404510245</stp>
        <stp>Settle</stp>
        <tr r="I17" s="1"/>
      </tp>
      <tp t="s">
        <v>6349657410249189749</v>
        <stp/>
        <stp>Inst</stp>
        <stp>B3</stp>
        <stp>DI1M26</stp>
        <tr r="D5" s="1"/>
      </tp>
      <tp t="s">
        <v>3543554736820970695</v>
        <stp/>
        <stp>Inst</stp>
        <stp>B3</stp>
        <stp>DI1Q26</stp>
        <tr r="D7" s="1"/>
      </tp>
      <tp t="s">
        <v>14692557659821352817</v>
        <stp/>
        <stp>Inst</stp>
        <stp>B3</stp>
        <stp>DI1V30</stp>
        <tr r="D29" s="1"/>
      </tp>
      <tp t="s">
        <v>16094481866404510245</v>
        <stp/>
        <stp>Inst</stp>
        <stp>B3</stp>
        <stp>DI1V27</stp>
        <tr r="D17" s="1"/>
      </tp>
      <tp t="s">
        <v>10014664349356694569</v>
        <stp/>
        <stp>Inst</stp>
        <stp>B3</stp>
        <stp>DI1V26</stp>
        <tr r="D9" s="1"/>
      </tp>
      <tp t="s">
        <v>12026219287793565681</v>
        <stp/>
        <stp>Inst</stp>
        <stp>B3</stp>
        <stp>DI1V29</stp>
        <tr r="D25" s="1"/>
      </tp>
      <tp t="s">
        <v>1467101705448099047</v>
        <stp/>
        <stp>Inst</stp>
        <stp>B3</stp>
        <stp>DI1V28</stp>
        <tr r="D21" s="1"/>
      </tp>
      <tp t="s">
        <v>7176047761201419741</v>
        <stp/>
        <stp>Inst</stp>
        <stp>B3</stp>
        <stp>DI1U26</stp>
        <tr r="D8" s="1"/>
      </tp>
      <tp t="s">
        <v>3011409362963908888</v>
        <stp/>
        <stp>Inst</stp>
        <stp>B3</stp>
        <stp>DI1Z26</stp>
        <tr r="D11" s="1"/>
      </tp>
      <tp t="s">
        <v>3062018159838013665</v>
        <stp/>
        <stp>Inst</stp>
        <stp>B3</stp>
        <stp>DI1X26</stp>
        <tr r="D10" s="1"/>
      </tp>
      <tp>
        <v>400</v>
        <stp/>
        <stp>10014664349356694569</stp>
        <stp>AskQty</stp>
        <tr r="H9" s="1"/>
      </tp>
      <tp>
        <v>0</v>
        <stp/>
        <stp>10014664349356694569</stp>
        <stp>BidQty</stp>
        <tr r="E9" s="1"/>
      </tp>
      <tp t="s">
        <v>N/A</v>
        <stp/>
        <stp>15346196232291796739</stp>
        <stp>Ask</stp>
        <tr r="G33" s="1"/>
      </tp>
      <tp t="s">
        <v>14.165</v>
        <stp/>
        <stp>10014664349356694569</stp>
        <stp>Ask</stp>
        <tr r="G9" s="1"/>
      </tp>
      <tp t="s">
        <v>13.450</v>
        <stp/>
        <stp>16094481866404510245</stp>
        <stp>Bid</stp>
        <tr r="F17" s="1"/>
      </tp>
      <tp t="s">
        <v>N/A</v>
        <stp/>
        <stp>10009254566921457783</stp>
        <stp>Bid</stp>
        <tr r="F35" s="1"/>
      </tp>
      <tp>
        <v>0</v>
        <stp/>
        <stp>11528461929651083064</stp>
        <stp>BidQty</stp>
        <tr r="E13" s="1"/>
      </tp>
      <tp>
        <v>0</v>
        <stp/>
        <stp>11528461929651083064</stp>
        <stp>AskQty</stp>
        <tr r="H13" s="1"/>
      </tp>
      <tp>
        <v>0</v>
        <stp/>
        <stp>14692557659821352817</stp>
        <stp>AskQty</stp>
        <tr r="H29" s="1"/>
      </tp>
      <tp>
        <v>20</v>
        <stp/>
        <stp>14692557659821352817</stp>
        <stp>BidQty</stp>
        <tr r="E29" s="1"/>
      </tp>
      <tp>
        <v>80</v>
        <stp/>
        <stp>14170903681535090898</stp>
        <stp>AskQty</stp>
        <tr r="H16" s="1"/>
      </tp>
      <tp>
        <v>80</v>
        <stp/>
        <stp>14170903681535090898</stp>
        <stp>BidQty</stp>
        <tr r="E16" s="1"/>
      </tp>
      <tp t="s">
        <v>N/A</v>
        <stp/>
        <stp>10009254566921457783</stp>
        <stp>Ask</stp>
        <tr r="G35" s="1"/>
      </tp>
      <tp t="s">
        <v>13.520</v>
        <stp/>
        <stp>16094481866404510245</stp>
        <stp>Ask</stp>
        <tr r="G17" s="1"/>
      </tp>
      <tp t="s">
        <v>N/A</v>
        <stp/>
        <stp>10014664349356694569</stp>
        <stp>Bid</stp>
        <tr r="F9" s="1"/>
      </tp>
      <tp t="s">
        <v>N/A</v>
        <stp/>
        <stp>15346196232291796739</stp>
        <stp>Bid</stp>
        <tr r="F33" s="1"/>
      </tp>
      <tp t="s">
        <v>13.430</v>
        <stp/>
        <stp>13659944186236004212</stp>
        <stp>Bid</stp>
        <tr r="F38" s="1"/>
      </tp>
      <tp t="s">
        <v>N/A</v>
        <stp/>
        <stp>15059569274646670796</stp>
        <stp>Bid</stp>
        <tr r="F28" s="1"/>
      </tp>
      <tp t="s">
        <v>N/A</v>
        <stp/>
        <stp>11528461929651083064</stp>
        <stp>Bid</stp>
        <tr r="F13" s="1"/>
      </tp>
      <tp t="s">
        <v>13.245</v>
        <stp/>
        <stp>49896872476011958</stp>
        <stp>Settle</stp>
        <tr r="I27" s="1"/>
      </tp>
      <tp>
        <v>9</v>
        <stp/>
        <stp>16049534290115909079</stp>
        <stp>BidQty</stp>
        <tr r="E34" s="1"/>
      </tp>
      <tp>
        <v>26</v>
        <stp/>
        <stp>16049534290115909079</stp>
        <stp>AskQty</stp>
        <tr r="H34" s="1"/>
      </tp>
      <tp>
        <v>0</v>
        <stp/>
        <stp>12183633319855756998</stp>
        <stp>AskQty</stp>
        <tr r="H41" s="1"/>
      </tp>
      <tp>
        <v>0</v>
        <stp/>
        <stp>12183633319855756998</stp>
        <stp>BidQty</stp>
        <tr r="E41" s="1"/>
      </tp>
      <tp t="s">
        <v>N/A</v>
        <stp/>
        <stp>16149570627125062398</stp>
        <stp>Bid</stp>
        <tr r="F31" s="1"/>
      </tp>
      <tp t="s">
        <v>N/A</v>
        <stp/>
        <stp>16149570627125062398</stp>
        <stp>Ask</stp>
        <tr r="G31" s="1"/>
      </tp>
      <tp t="s">
        <v>N/A</v>
        <stp/>
        <stp>15059569274646670796</stp>
        <stp>Ask</stp>
        <tr r="G28" s="1"/>
      </tp>
      <tp t="s">
        <v>N/A</v>
        <stp/>
        <stp>11528461929651083064</stp>
        <stp>Ask</stp>
        <tr r="G13" s="1"/>
      </tp>
      <tp t="s">
        <v>13.600</v>
        <stp/>
        <stp>13659944186236004212</stp>
        <stp>Ask</stp>
        <tr r="G38" s="1"/>
      </tp>
      <tp t="s">
        <v>N/A</v>
        <stp/>
        <stp>12183633319855756998</stp>
        <stp>Ask</stp>
        <tr r="G41" s="1"/>
      </tp>
      <tp>
        <v>0</v>
        <stp/>
        <stp>15059569274646670796</stp>
        <stp>BidQty</stp>
        <tr r="E28" s="1"/>
      </tp>
      <tp>
        <v>100</v>
        <stp/>
        <stp>13659944186236004212</stp>
        <stp>BidQty</stp>
        <tr r="E38" s="1"/>
      </tp>
      <tp>
        <v>0</v>
        <stp/>
        <stp>16149570627125062398</stp>
        <stp>BidQty</stp>
        <tr r="E31" s="1"/>
      </tp>
      <tp>
        <v>0</v>
        <stp/>
        <stp>16149570627125062398</stp>
        <stp>AskQty</stp>
        <tr r="H31" s="1"/>
      </tp>
      <tp>
        <v>1</v>
        <stp/>
        <stp>13659944186236004212</stp>
        <stp>AskQty</stp>
        <tr r="H38" s="1"/>
      </tp>
      <tp>
        <v>0</v>
        <stp/>
        <stp>15059569274646670796</stp>
        <stp>AskQty</stp>
        <tr r="H28" s="1"/>
      </tp>
      <tp t="s">
        <v>13.655</v>
        <stp/>
        <stp>14170903681535090898</stp>
        <stp>Ask</stp>
        <tr r="G16" s="1"/>
      </tp>
      <tp>
        <v>10</v>
        <stp/>
        <stp>16094481866404510245</stp>
        <stp>BidQty</stp>
        <tr r="E17" s="1"/>
      </tp>
      <tp>
        <v>80</v>
        <stp/>
        <stp>16094481866404510245</stp>
        <stp>AskQty</stp>
        <tr r="H17" s="1"/>
      </tp>
      <tp t="s">
        <v>13.585</v>
        <stp/>
        <stp>14170903681535090898</stp>
        <stp>Bid</stp>
        <tr r="F16" s="1"/>
      </tp>
      <tp t="s">
        <v>N/A</v>
        <stp/>
        <stp>12183633319855756998</stp>
        <stp>Bid</stp>
        <tr r="F41" s="1"/>
      </tp>
      <tp t="s">
        <v>13.175</v>
        <stp/>
        <stp>49896872476011958</stp>
        <stp>Bid</stp>
        <tr r="F27" s="1"/>
      </tp>
      <tp t="s">
        <v>N/A</v>
        <stp/>
        <stp>14692557659821352817</stp>
        <stp>Ask</stp>
        <tr r="G29" s="1"/>
      </tp>
      <tp t="s">
        <v>N/A</v>
        <stp/>
        <stp>12026219287793565681</stp>
        <stp>Ask</stp>
        <tr r="G25" s="1"/>
      </tp>
      <tp>
        <v>0</v>
        <stp/>
        <stp>15346196232291796739</stp>
        <stp>AskQty</stp>
        <tr r="H33" s="1"/>
      </tp>
      <tp>
        <v>0</v>
        <stp/>
        <stp>15346196232291796739</stp>
        <stp>BidQty</stp>
        <tr r="E33" s="1"/>
      </tp>
      <tp t="s">
        <v>13.330</v>
        <stp/>
        <stp>16630883641985446084</stp>
        <stp>Bid</stp>
        <tr r="F18" s="1"/>
      </tp>
      <tp t="s">
        <v>13.355</v>
        <stp/>
        <stp>16049534290115909079</stp>
        <stp>Bid</stp>
        <tr r="F34" s="1"/>
      </tp>
      <tp>
        <v>0</v>
        <stp/>
        <stp>12026219287793565681</stp>
        <stp>AskQty</stp>
        <tr r="H25" s="1"/>
      </tp>
      <tp>
        <v>3005</v>
        <stp/>
        <stp>16630883641985446084</stp>
        <stp>BidQty</stp>
        <tr r="E18" s="1"/>
      </tp>
      <tp>
        <v>50</v>
        <stp/>
        <stp>16630883641985446084</stp>
        <stp>AskQty</stp>
        <tr r="H18" s="1"/>
      </tp>
      <tp>
        <v>0</v>
        <stp/>
        <stp>12026219287793565681</stp>
        <stp>BidQty</stp>
        <tr r="E25" s="1"/>
      </tp>
      <tp t="s">
        <v>13.415</v>
        <stp/>
        <stp>16049534290115909079</stp>
        <stp>Ask</stp>
        <tr r="G34" s="1"/>
      </tp>
      <tp t="s">
        <v>13.360</v>
        <stp/>
        <stp>16630883641985446084</stp>
        <stp>Ask</stp>
        <tr r="G18" s="1"/>
      </tp>
      <tp>
        <v>0</v>
        <stp/>
        <stp>10009254566921457783</stp>
        <stp>BidQty</stp>
        <tr r="E35" s="1"/>
      </tp>
      <tp>
        <v>0</v>
        <stp/>
        <stp>10009254566921457783</stp>
        <stp>AskQty</stp>
        <tr r="H35" s="1"/>
      </tp>
      <tp t="s">
        <v>N/A</v>
        <stp/>
        <stp>49896872476011958</stp>
        <stp>Ask</stp>
        <tr r="G27" s="1"/>
      </tp>
      <tp t="s">
        <v>N/A</v>
        <stp/>
        <stp>12026219287793565681</stp>
        <stp>Bid</stp>
        <tr r="F25" s="1"/>
      </tp>
      <tp t="s">
        <v>13.215</v>
        <stp/>
        <stp>14692557659821352817</stp>
        <stp>Bid</stp>
        <tr r="F29" s="1"/>
      </tp>
      <tp t="s">
        <v>13.760</v>
        <stp/>
        <stp>6667533323116404583</stp>
        <stp>Bid</stp>
        <tr r="F15" s="1"/>
      </tp>
      <tp t="s">
        <v>N/A</v>
        <stp/>
        <stp>3740716625392523611</stp>
        <stp>Bid</stp>
        <tr r="F39" s="1"/>
      </tp>
      <tp t="s">
        <v>14.416</v>
        <stp/>
        <stp>4308256969868171920</stp>
        <stp>Ask</stp>
        <tr r="G6" s="1"/>
      </tp>
      <tp t="s">
        <v>N/A</v>
        <stp/>
        <stp>3543554736820970695</stp>
        <stp>Bid</stp>
        <tr r="F7" s="1"/>
      </tp>
      <tp t="s">
        <v>13.970</v>
        <stp/>
        <stp>6947687583888825095</stp>
        <stp>Ask</stp>
        <tr r="G12" s="1"/>
      </tp>
      <tp t="s">
        <v>13.455</v>
        <stp/>
        <stp>6962089539273648642</stp>
        <stp>Ask</stp>
        <tr r="G36" s="1"/>
      </tp>
      <tp t="s">
        <v>13.400</v>
        <stp/>
        <stp>6962089539273648642</stp>
        <stp>Bid</stp>
        <tr r="F36" s="1"/>
      </tp>
      <tp t="s">
        <v>13.950</v>
        <stp/>
        <stp>6947687583888825095</stp>
        <stp>Bid</stp>
        <tr r="F12" s="1"/>
      </tp>
      <tp t="s">
        <v>N/A</v>
        <stp/>
        <stp>3543554736820970695</stp>
        <stp>Ask</stp>
        <tr r="G7" s="1"/>
      </tp>
      <tp t="s">
        <v>N/A</v>
        <stp/>
        <stp>4308256969868171920</stp>
        <stp>Bid</stp>
        <tr r="F6" s="1"/>
      </tp>
      <tp t="s">
        <v>N/A</v>
        <stp/>
        <stp>3740716625392523611</stp>
        <stp>Ask</stp>
        <tr r="G39" s="1"/>
      </tp>
      <tp t="s">
        <v>13.835</v>
        <stp/>
        <stp>6667533323116404583</stp>
        <stp>Ask</stp>
        <tr r="G15" s="1"/>
      </tp>
      <tp t="s">
        <v>N/A</v>
        <stp/>
        <stp>6830951289805470595</stp>
        <stp>Bid</stp>
        <tr r="F4" s="1"/>
      </tp>
      <tp t="s">
        <v>N/A</v>
        <stp/>
        <stp>7176047761201419741</stp>
        <stp>Bid</stp>
        <tr r="F8" s="1"/>
      </tp>
      <tp t="s">
        <v>13.220</v>
        <stp/>
        <stp>5854173501169453927</stp>
        <stp>Ask</stp>
        <tr r="G20" s="1"/>
      </tp>
      <tp t="s">
        <v>13.190</v>
        <stp/>
        <stp>5854173501169453927</stp>
        <stp>Bid</stp>
        <tr r="F20" s="1"/>
      </tp>
    </main>
    <main first="tt.rtd">
      <tp t="s">
        <v>N/A</v>
        <stp/>
        <stp>7176047761201419741</stp>
        <stp>Ask</stp>
        <tr r="G8" s="1"/>
      </tp>
      <tp t="s">
        <v>N/A</v>
        <stp/>
        <stp>6830951289805470595</stp>
        <stp>Ask</stp>
        <tr r="G4" s="1"/>
      </tp>
    </main>
    <main first="tt.rtd">
      <tp t="s">
        <v>N/A</v>
        <stp/>
        <stp>3011409362963908888</stp>
        <stp>Bid</stp>
        <tr r="F11" s="1"/>
      </tp>
      <tp t="s">
        <v>N/A</v>
        <stp/>
        <stp>6444576488533873261</stp>
        <stp>Bid</stp>
        <tr r="F37" s="1"/>
      </tp>
      <tp t="s">
        <v>N/A</v>
        <stp/>
        <stp>2708352484623619068</stp>
        <stp>Bid</stp>
        <tr r="F32" s="1"/>
      </tp>
    </main>
    <main first="tt.rtd">
      <tp t="s">
        <v>13.250</v>
        <stp/>
        <stp>5289708689298979968</stp>
        <stp>Bid</stp>
        <tr r="F30" s="1"/>
      </tp>
      <tp t="s">
        <v>13.290</v>
        <stp/>
        <stp>5352545927749150301</stp>
        <stp>Ask</stp>
        <tr r="G19" s="1"/>
      </tp>
      <tp t="s">
        <v>N/A</v>
        <stp/>
        <stp>1467101705448099047</stp>
        <stp>Ask</stp>
        <tr r="G21" s="1"/>
      </tp>
      <tp t="s">
        <v>N/A</v>
        <stp/>
        <stp>1101190791973221236</stp>
        <stp>Ask</stp>
        <tr r="G40" s="1"/>
      </tp>
      <tp t="s">
        <v>N/A</v>
        <stp/>
        <stp>3062018159838013665</stp>
        <stp>Ask</stp>
        <tr r="G10" s="1"/>
      </tp>
      <tp t="s">
        <v>N/A</v>
        <stp/>
        <stp>1101190791973221236</stp>
        <stp>Bid</stp>
        <tr r="F40" s="1"/>
      </tp>
    </main>
    <main first="tt.rtd">
      <tp t="s">
        <v>N/A</v>
        <stp/>
        <stp>3062018159838013665</stp>
        <stp>Bid</stp>
        <tr r="F10" s="1"/>
      </tp>
      <tp t="s">
        <v>13.240</v>
        <stp/>
        <stp>5352545927749150301</stp>
        <stp>Bid</stp>
        <tr r="F19" s="1"/>
      </tp>
      <tp t="s">
        <v>N/A</v>
        <stp/>
        <stp>1467101705448099047</stp>
        <stp>Bid</stp>
        <tr r="F21" s="1"/>
      </tp>
      <tp t="s">
        <v>13.270</v>
        <stp/>
        <stp>5289708689298979968</stp>
        <stp>Ask</stp>
        <tr r="G30" s="1"/>
      </tp>
      <tp t="s">
        <v>N/A</v>
        <stp/>
        <stp>3011409362963908888</stp>
        <stp>Ask</stp>
        <tr r="G11" s="1"/>
      </tp>
      <tp t="s">
        <v>N/A</v>
        <stp/>
        <stp>2708352484623619068</stp>
        <stp>Ask</stp>
        <tr r="G32" s="1"/>
      </tp>
      <tp t="s">
        <v>N/A</v>
        <stp/>
        <stp>6444576488533873261</stp>
        <stp>Ask</stp>
        <tr r="G37" s="1"/>
      </tp>
      <tp t="s">
        <v>13.160</v>
        <stp/>
        <stp>4900375261969717634</stp>
        <stp>Bid</stp>
        <tr r="F24" s="1"/>
      </tp>
      <tp t="s">
        <v>N/A</v>
        <stp/>
        <stp>1555274955611157900</stp>
        <stp>Bid</stp>
        <tr r="F23" s="1"/>
      </tp>
      <tp t="s">
        <v>13.170</v>
        <stp/>
        <stp>7804222143105039987</stp>
        <stp>Ask</stp>
        <tr r="G22" s="1"/>
      </tp>
      <tp t="s">
        <v>N/A</v>
        <stp/>
        <stp>6349657410249189749</stp>
        <stp>Bid</stp>
        <tr r="F5" s="1"/>
      </tp>
      <tp t="s">
        <v>13.180</v>
        <stp/>
        <stp>1241034196156492141</stp>
        <stp>Bid</stp>
        <tr r="F26" s="1"/>
      </tp>
      <tp t="s">
        <v>N/A</v>
        <stp/>
        <stp>2572527398927182557</stp>
        <stp>Ask</stp>
        <tr r="G14" s="1"/>
      </tp>
      <tp t="s">
        <v>N/A</v>
        <stp/>
        <stp>2572527398927182557</stp>
        <stp>Bid</stp>
        <tr r="F14" s="1"/>
      </tp>
      <tp t="s">
        <v>N/A</v>
        <stp/>
        <stp>6349657410249189749</stp>
        <stp>Ask</stp>
        <tr r="G5" s="1"/>
      </tp>
      <tp t="s">
        <v>13.220</v>
        <stp/>
        <stp>1241034196156492141</stp>
        <stp>Ask</stp>
        <tr r="G26" s="1"/>
      </tp>
    </main>
    <main first="tt.rtd">
      <tp t="s">
        <v>13.150</v>
        <stp/>
        <stp>7804222143105039987</stp>
        <stp>Bid</stp>
        <tr r="F22" s="1"/>
      </tp>
      <tp t="s">
        <v>N/A</v>
        <stp/>
        <stp>1555274955611157900</stp>
        <stp>Ask</stp>
        <tr r="G23" s="1"/>
      </tp>
      <tp t="s">
        <v>13.205</v>
        <stp/>
        <stp>4900375261969717634</stp>
        <stp>Ask</stp>
        <tr r="G24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openxmlformats.org/officeDocument/2006/relationships/volatileDependencies" Target="volatileDependencies.xml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Sheet_Brazil.xlsx" TargetMode="External"/><Relationship Id="rId2" Type="http://schemas.openxmlformats.org/officeDocument/2006/relationships/externalLinkPath" Target="https://d.docs.live.net/6e5accf5d779e70b/ARB/Imp_Excel/Sheet_Brazil.xlsx" TargetMode="External"/><Relationship Id="rId1" Type="http://schemas.openxmlformats.org/officeDocument/2006/relationships/externalLinkPath" Target="/6e5accf5d779e70b/ARB/Imp_Excel/Sheet_Brazil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All"/>
      <sheetName val="Spreads"/>
      <sheetName val="Position"/>
      <sheetName val="Contract"/>
      <sheetName val="Sheet1"/>
    </sheetNames>
    <sheetDataSet>
      <sheetData sheetId="0">
        <row r="4">
          <cell r="I4" t="str">
            <v>14.634</v>
          </cell>
          <cell r="L4" t="str">
            <v/>
          </cell>
        </row>
        <row r="5">
          <cell r="I5" t="str">
            <v>14.468</v>
          </cell>
          <cell r="L5" t="str">
            <v/>
          </cell>
        </row>
        <row r="6">
          <cell r="I6" t="str">
            <v>14.398</v>
          </cell>
          <cell r="L6" t="str">
            <v/>
          </cell>
        </row>
        <row r="7">
          <cell r="I7" t="str">
            <v>14.313</v>
          </cell>
          <cell r="L7" t="str">
            <v/>
          </cell>
        </row>
        <row r="8">
          <cell r="I8" t="str">
            <v>14.225</v>
          </cell>
          <cell r="L8" t="str">
            <v/>
          </cell>
        </row>
        <row r="9">
          <cell r="I9" t="str">
            <v>14.161</v>
          </cell>
          <cell r="L9" t="str">
            <v/>
          </cell>
        </row>
        <row r="10">
          <cell r="I10" t="str">
            <v>14.102</v>
          </cell>
          <cell r="L10" t="str">
            <v/>
          </cell>
        </row>
        <row r="11">
          <cell r="I11" t="str">
            <v>14.054</v>
          </cell>
          <cell r="L11" t="str">
            <v/>
          </cell>
        </row>
        <row r="12">
          <cell r="I12" t="str">
            <v>13.988</v>
          </cell>
          <cell r="L12">
            <v>13.969576968272621</v>
          </cell>
        </row>
        <row r="13">
          <cell r="I13" t="str">
            <v>13.936</v>
          </cell>
          <cell r="L13" t="str">
            <v/>
          </cell>
        </row>
        <row r="14">
          <cell r="I14" t="str">
            <v>13.888</v>
          </cell>
          <cell r="L14" t="str">
            <v/>
          </cell>
        </row>
        <row r="15">
          <cell r="C15" t="str">
            <v>DI1J27</v>
          </cell>
          <cell r="I15" t="str">
            <v>13.827</v>
          </cell>
          <cell r="L15">
            <v>13.797500000000001</v>
          </cell>
        </row>
        <row r="16">
          <cell r="C16" t="str">
            <v>DI1N27</v>
          </cell>
          <cell r="I16" t="str">
            <v>13.649</v>
          </cell>
          <cell r="L16">
            <v>13.62</v>
          </cell>
        </row>
        <row r="17">
          <cell r="C17" t="str">
            <v>DI1V27</v>
          </cell>
          <cell r="I17" t="str">
            <v>13.510</v>
          </cell>
          <cell r="L17">
            <v>13.457777777777778</v>
          </cell>
        </row>
        <row r="18">
          <cell r="C18" t="str">
            <v>DI1F28</v>
          </cell>
          <cell r="I18" t="str">
            <v>13.379</v>
          </cell>
          <cell r="L18">
            <v>13.35950900163666</v>
          </cell>
        </row>
        <row r="19">
          <cell r="C19" t="str">
            <v>DI1J28</v>
          </cell>
          <cell r="I19" t="str">
            <v>13.301</v>
          </cell>
          <cell r="L19">
            <v>13.264999999999999</v>
          </cell>
        </row>
        <row r="20">
          <cell r="C20" t="str">
            <v>DI1N28</v>
          </cell>
          <cell r="I20" t="str">
            <v>13.246</v>
          </cell>
          <cell r="L20">
            <v>13.215774647887324</v>
          </cell>
        </row>
        <row r="21">
          <cell r="C21" t="str">
            <v>DI1V28</v>
          </cell>
          <cell r="I21" t="str">
            <v>13.222</v>
          </cell>
          <cell r="L21" t="str">
            <v/>
          </cell>
        </row>
        <row r="22">
          <cell r="C22" t="str">
            <v>DI1F29</v>
          </cell>
          <cell r="I22" t="str">
            <v>13.200</v>
          </cell>
          <cell r="L22">
            <v>13.166781002638523</v>
          </cell>
        </row>
        <row r="23">
          <cell r="C23" t="str">
            <v>DI1J29</v>
          </cell>
          <cell r="I23" t="str">
            <v>13.208</v>
          </cell>
          <cell r="L23" t="str">
            <v/>
          </cell>
        </row>
        <row r="24">
          <cell r="C24" t="str">
            <v>DI1N29</v>
          </cell>
          <cell r="I24" t="str">
            <v>13.221</v>
          </cell>
          <cell r="L24">
            <v>13.182500000000001</v>
          </cell>
        </row>
        <row r="25">
          <cell r="C25" t="str">
            <v>DI1V29</v>
          </cell>
          <cell r="I25" t="str">
            <v>13.229</v>
          </cell>
          <cell r="L25" t="str">
            <v/>
          </cell>
        </row>
        <row r="26">
          <cell r="C26" t="str">
            <v>DI1F30</v>
          </cell>
          <cell r="I26" t="str">
            <v>13.242</v>
          </cell>
          <cell r="L26">
            <v>13.200392156862746</v>
          </cell>
        </row>
        <row r="27">
          <cell r="C27" t="str">
            <v>DI1J30</v>
          </cell>
          <cell r="I27" t="str">
            <v>13.245</v>
          </cell>
          <cell r="L27" t="str">
            <v/>
          </cell>
        </row>
        <row r="28">
          <cell r="C28" t="str">
            <v>DI1N30</v>
          </cell>
          <cell r="I28" t="str">
            <v>13.265</v>
          </cell>
          <cell r="L28" t="str">
            <v/>
          </cell>
        </row>
        <row r="29">
          <cell r="C29" t="str">
            <v>DI1V30</v>
          </cell>
          <cell r="I29" t="str">
            <v>13.275</v>
          </cell>
          <cell r="L29" t="str">
            <v/>
          </cell>
        </row>
        <row r="30">
          <cell r="C30" t="str">
            <v>DI1F31</v>
          </cell>
          <cell r="I30" t="str">
            <v>13.298</v>
          </cell>
          <cell r="L30">
            <v>13.263680781758957</v>
          </cell>
        </row>
        <row r="31">
          <cell r="C31" t="str">
            <v>DI1J31</v>
          </cell>
          <cell r="I31" t="str">
            <v>13.313</v>
          </cell>
          <cell r="L31" t="str">
            <v/>
          </cell>
        </row>
        <row r="32">
          <cell r="C32" t="str">
            <v>DI1N31</v>
          </cell>
          <cell r="I32" t="str">
            <v>13.333</v>
          </cell>
          <cell r="L32" t="str">
            <v/>
          </cell>
        </row>
        <row r="33">
          <cell r="I33" t="str">
            <v>13.378</v>
          </cell>
          <cell r="L33" t="str">
            <v/>
          </cell>
        </row>
        <row r="34">
          <cell r="I34" t="str">
            <v>13.423</v>
          </cell>
          <cell r="L34">
            <v>13.370428571428572</v>
          </cell>
        </row>
        <row r="35">
          <cell r="I35" t="str">
            <v>13.441</v>
          </cell>
          <cell r="L35" t="str">
            <v/>
          </cell>
        </row>
        <row r="36">
          <cell r="I36" t="str">
            <v>13.443</v>
          </cell>
          <cell r="L36">
            <v>13.452429906542056</v>
          </cell>
        </row>
        <row r="37">
          <cell r="I37" t="str">
            <v>13.437</v>
          </cell>
          <cell r="L37" t="str">
            <v/>
          </cell>
        </row>
        <row r="38">
          <cell r="I38" t="str">
            <v>13.460</v>
          </cell>
          <cell r="L38">
            <v>13.598316831683169</v>
          </cell>
        </row>
        <row r="39">
          <cell r="I39" t="str">
            <v>13.450</v>
          </cell>
          <cell r="L39" t="str">
            <v/>
          </cell>
        </row>
        <row r="40">
          <cell r="I40" t="str">
            <v>13.432</v>
          </cell>
          <cell r="L40" t="str">
            <v/>
          </cell>
        </row>
        <row r="41">
          <cell r="I41" t="str">
            <v>13.415</v>
          </cell>
          <cell r="L41" t="str">
            <v/>
          </cell>
        </row>
      </sheetData>
      <sheetData sheetId="1"/>
      <sheetData sheetId="2"/>
      <sheetData sheetId="3">
        <row r="3">
          <cell r="C3">
            <v>46146</v>
          </cell>
          <cell r="E3" t="str">
            <v>DI1May 26</v>
          </cell>
          <cell r="F3" t="str">
            <v>DI1K26</v>
          </cell>
          <cell r="G3" t="str">
            <v>14.634</v>
          </cell>
          <cell r="H3">
            <v>7.2789126234755919E-2</v>
          </cell>
          <cell r="I3" t="str">
            <v/>
          </cell>
          <cell r="O3">
            <v>36892</v>
          </cell>
        </row>
        <row r="4">
          <cell r="C4">
            <v>46174</v>
          </cell>
          <cell r="E4" t="str">
            <v>DI1Jun 26</v>
          </cell>
          <cell r="F4" t="str">
            <v>DI1M26</v>
          </cell>
          <cell r="G4" t="str">
            <v>14.468</v>
          </cell>
          <cell r="H4">
            <v>0.20325130207381265</v>
          </cell>
          <cell r="I4" t="str">
            <v/>
          </cell>
          <cell r="O4">
            <v>36948</v>
          </cell>
        </row>
        <row r="5">
          <cell r="C5">
            <v>46204</v>
          </cell>
          <cell r="E5" t="str">
            <v>DI1Jul 26</v>
          </cell>
          <cell r="F5" t="str">
            <v>DI1N26</v>
          </cell>
          <cell r="G5" t="str">
            <v>14.398</v>
          </cell>
          <cell r="H5">
            <v>0.33736772506157509</v>
          </cell>
          <cell r="I5" t="str">
            <v/>
          </cell>
          <cell r="O5">
            <v>36949</v>
          </cell>
        </row>
        <row r="6">
          <cell r="C6">
            <v>46237</v>
          </cell>
          <cell r="E6" t="str">
            <v>DI1Aug 26</v>
          </cell>
          <cell r="F6" t="str">
            <v>DI1Q26</v>
          </cell>
          <cell r="G6" t="str">
            <v>14.313</v>
          </cell>
          <cell r="H6">
            <v>0.48111261485945966</v>
          </cell>
          <cell r="I6" t="str">
            <v/>
          </cell>
          <cell r="O6">
            <v>36994</v>
          </cell>
        </row>
        <row r="7">
          <cell r="C7">
            <v>46266</v>
          </cell>
          <cell r="E7" t="str">
            <v>DI1Sep 26</v>
          </cell>
          <cell r="F7" t="str">
            <v>DI1U26</v>
          </cell>
          <cell r="G7" t="str">
            <v>14.225</v>
          </cell>
          <cell r="H7">
            <v>0.60964311906830582</v>
          </cell>
          <cell r="I7" t="str">
            <v/>
          </cell>
          <cell r="O7">
            <v>37002</v>
          </cell>
        </row>
        <row r="8">
          <cell r="C8">
            <v>46296</v>
          </cell>
          <cell r="E8" t="str">
            <v>DI1Oct 26</v>
          </cell>
          <cell r="F8" t="str">
            <v>DI1V26</v>
          </cell>
          <cell r="G8" t="str">
            <v>14.161</v>
          </cell>
          <cell r="H8">
            <v>0.73541364806890042</v>
          </cell>
          <cell r="I8" t="str">
            <v/>
          </cell>
          <cell r="O8">
            <v>37012</v>
          </cell>
        </row>
        <row r="9">
          <cell r="C9">
            <v>46329</v>
          </cell>
          <cell r="E9" t="str">
            <v>DI1Nov 26</v>
          </cell>
          <cell r="F9" t="str">
            <v>DI1X26</v>
          </cell>
          <cell r="G9" t="str">
            <v>14.102</v>
          </cell>
          <cell r="H9">
            <v>0.85857376698606036</v>
          </cell>
          <cell r="I9" t="str">
            <v/>
          </cell>
          <cell r="O9">
            <v>37056</v>
          </cell>
        </row>
        <row r="10">
          <cell r="C10">
            <v>46357</v>
          </cell>
          <cell r="E10" t="str">
            <v>DI1Dec 26</v>
          </cell>
          <cell r="F10" t="str">
            <v>DI1Z26</v>
          </cell>
          <cell r="G10" t="str">
            <v>14.054</v>
          </cell>
          <cell r="H10">
            <v>0.96777318932604073</v>
          </cell>
          <cell r="I10" t="str">
            <v/>
          </cell>
          <cell r="O10">
            <v>37141</v>
          </cell>
        </row>
        <row r="11">
          <cell r="C11">
            <v>46391</v>
          </cell>
          <cell r="E11" t="str">
            <v>DI1Jan 27</v>
          </cell>
          <cell r="F11" t="str">
            <v>DI1F27</v>
          </cell>
          <cell r="G11" t="str">
            <v>13.988</v>
          </cell>
          <cell r="H11">
            <v>1.0918661373356231</v>
          </cell>
          <cell r="I11">
            <v>13.969576968272621</v>
          </cell>
          <cell r="O11">
            <v>37176</v>
          </cell>
        </row>
        <row r="12">
          <cell r="C12">
            <v>46419</v>
          </cell>
          <cell r="E12" t="str">
            <v>DI1Feb 27</v>
          </cell>
          <cell r="F12" t="str">
            <v>DI1G27</v>
          </cell>
          <cell r="G12" t="str">
            <v>13.936</v>
          </cell>
          <cell r="H12">
            <v>1.2022919479428449</v>
          </cell>
          <cell r="I12" t="str">
            <v/>
          </cell>
          <cell r="O12">
            <v>37197</v>
          </cell>
        </row>
        <row r="13">
          <cell r="C13">
            <v>46447</v>
          </cell>
          <cell r="E13" t="str">
            <v>DI1Mar 27</v>
          </cell>
          <cell r="F13" t="str">
            <v>DI1H27</v>
          </cell>
          <cell r="G13" t="str">
            <v>13.888</v>
          </cell>
          <cell r="H13">
            <v>1.299895962958824</v>
          </cell>
          <cell r="I13" t="str">
            <v/>
          </cell>
          <cell r="O13">
            <v>37210</v>
          </cell>
        </row>
        <row r="14">
          <cell r="C14">
            <v>46478</v>
          </cell>
          <cell r="E14" t="str">
            <v>DI1Apr 27</v>
          </cell>
          <cell r="F14" t="str">
            <v>DI1J27</v>
          </cell>
          <cell r="G14" t="str">
            <v>13.827</v>
          </cell>
          <cell r="H14">
            <v>1.4169933478842722</v>
          </cell>
          <cell r="I14">
            <v>13.797500000000001</v>
          </cell>
          <cell r="O14">
            <v>37250</v>
          </cell>
        </row>
        <row r="15">
          <cell r="C15">
            <v>46569</v>
          </cell>
          <cell r="E15" t="str">
            <v>DI1Jul 27</v>
          </cell>
          <cell r="F15" t="str">
            <v>DI1N27</v>
          </cell>
          <cell r="G15" t="str">
            <v>13.649</v>
          </cell>
          <cell r="H15">
            <v>1.7394217408638304</v>
          </cell>
          <cell r="I15">
            <v>13.62</v>
          </cell>
          <cell r="O15">
            <v>37257</v>
          </cell>
        </row>
        <row r="16">
          <cell r="C16">
            <v>46661</v>
          </cell>
          <cell r="E16" t="str">
            <v>DI1Oct 27</v>
          </cell>
          <cell r="F16" t="str">
            <v>DI1V27</v>
          </cell>
          <cell r="G16" t="str">
            <v>13.510</v>
          </cell>
          <cell r="H16">
            <v>2.0513141014481122</v>
          </cell>
          <cell r="I16">
            <v>13.457777777777778</v>
          </cell>
          <cell r="O16">
            <v>37298</v>
          </cell>
        </row>
        <row r="17">
          <cell r="C17">
            <v>46755</v>
          </cell>
          <cell r="E17" t="str">
            <v>DI1Jan 28</v>
          </cell>
          <cell r="F17" t="str">
            <v>DI1F28</v>
          </cell>
          <cell r="G17" t="str">
            <v>13.379</v>
          </cell>
          <cell r="H17">
            <v>2.335761103293827</v>
          </cell>
          <cell r="I17">
            <v>13.35950900163666</v>
          </cell>
          <cell r="O17">
            <v>37299</v>
          </cell>
        </row>
        <row r="18">
          <cell r="C18">
            <v>46846</v>
          </cell>
          <cell r="E18" t="str">
            <v>DI1Apr 28</v>
          </cell>
          <cell r="F18" t="str">
            <v>DI1J28</v>
          </cell>
          <cell r="G18" t="str">
            <v>13.301</v>
          </cell>
          <cell r="H18">
            <v>2.6004738729814281</v>
          </cell>
          <cell r="I18">
            <v>13.264999999999999</v>
          </cell>
          <cell r="O18">
            <v>37344</v>
          </cell>
        </row>
        <row r="19">
          <cell r="C19">
            <v>46937</v>
          </cell>
          <cell r="E19" t="str">
            <v>DI1Jul 28</v>
          </cell>
          <cell r="F19" t="str">
            <v>DI1N28</v>
          </cell>
          <cell r="G19" t="str">
            <v>13.246</v>
          </cell>
          <cell r="H19">
            <v>2.839599673968153</v>
          </cell>
          <cell r="I19">
            <v>13.215774647887324</v>
          </cell>
          <cell r="O19">
            <v>37367</v>
          </cell>
        </row>
        <row r="20">
          <cell r="C20">
            <v>47028</v>
          </cell>
          <cell r="E20" t="str">
            <v>DI1Oct 28</v>
          </cell>
          <cell r="F20" t="str">
            <v>DI1V28</v>
          </cell>
          <cell r="G20" t="str">
            <v>13.222</v>
          </cell>
          <cell r="H20">
            <v>3.0713452500612428</v>
          </cell>
          <cell r="I20" t="str">
            <v/>
          </cell>
          <cell r="O20">
            <v>37377</v>
          </cell>
        </row>
        <row r="21">
          <cell r="C21">
            <v>47120</v>
          </cell>
          <cell r="E21" t="str">
            <v>DI1Jan 29</v>
          </cell>
          <cell r="F21" t="str">
            <v>DI1F29</v>
          </cell>
          <cell r="G21" t="str">
            <v>13.200</v>
          </cell>
          <cell r="H21">
            <v>3.2736787868522628</v>
          </cell>
          <cell r="I21">
            <v>13.166781002638523</v>
          </cell>
          <cell r="O21">
            <v>37406</v>
          </cell>
        </row>
        <row r="22">
          <cell r="C22">
            <v>47210</v>
          </cell>
          <cell r="E22" t="str">
            <v>DI1Apr 29</v>
          </cell>
          <cell r="F22" t="str">
            <v>DI1J29</v>
          </cell>
          <cell r="G22" t="str">
            <v>13.208</v>
          </cell>
          <cell r="H22">
            <v>3.4617143068121199</v>
          </cell>
          <cell r="I22" t="str">
            <v/>
          </cell>
          <cell r="O22">
            <v>37506</v>
          </cell>
        </row>
        <row r="23">
          <cell r="C23">
            <v>47301</v>
          </cell>
          <cell r="E23" t="str">
            <v>DI1Jul 29</v>
          </cell>
          <cell r="F23" t="str">
            <v>DI1N29</v>
          </cell>
          <cell r="G23" t="str">
            <v>13.221</v>
          </cell>
          <cell r="H23">
            <v>3.6403111931185075</v>
          </cell>
          <cell r="I23">
            <v>13.182500000000001</v>
          </cell>
          <cell r="O23">
            <v>37541</v>
          </cell>
        </row>
        <row r="24">
          <cell r="C24">
            <v>47392</v>
          </cell>
          <cell r="E24" t="str">
            <v>DI1Oct 29</v>
          </cell>
          <cell r="F24" t="str">
            <v>DI1V29</v>
          </cell>
          <cell r="G24" t="str">
            <v>13.229</v>
          </cell>
          <cell r="H24">
            <v>3.8075471646166426</v>
          </cell>
          <cell r="I24" t="str">
            <v/>
          </cell>
          <cell r="O24">
            <v>37562</v>
          </cell>
        </row>
        <row r="25">
          <cell r="C25">
            <v>47485</v>
          </cell>
          <cell r="E25" t="str">
            <v>DI1Jan 30</v>
          </cell>
          <cell r="F25" t="str">
            <v>DI1F30</v>
          </cell>
          <cell r="G25" t="str">
            <v>13.242</v>
          </cell>
          <cell r="H25">
            <v>3.9528292102715148</v>
          </cell>
          <cell r="I25">
            <v>13.200392156862746</v>
          </cell>
          <cell r="O25">
            <v>37575</v>
          </cell>
        </row>
        <row r="26">
          <cell r="C26">
            <v>47574</v>
          </cell>
          <cell r="E26" t="str">
            <v>DI1Apr 30</v>
          </cell>
          <cell r="F26" t="str">
            <v>DI1J30</v>
          </cell>
          <cell r="G26" t="str">
            <v>13.245</v>
          </cell>
          <cell r="H26">
            <v>4.0874340431680771</v>
          </cell>
          <cell r="I26" t="str">
            <v/>
          </cell>
          <cell r="O26">
            <v>37615</v>
          </cell>
        </row>
        <row r="27">
          <cell r="C27">
            <v>47665</v>
          </cell>
          <cell r="E27" t="str">
            <v>DI1Jul 30</v>
          </cell>
          <cell r="F27" t="str">
            <v>DI1N30</v>
          </cell>
          <cell r="G27" t="str">
            <v>13.265</v>
          </cell>
          <cell r="H27">
            <v>4.2091244491096473</v>
          </cell>
          <cell r="I27" t="str">
            <v/>
          </cell>
          <cell r="O27">
            <v>37622</v>
          </cell>
        </row>
        <row r="28">
          <cell r="C28">
            <v>47757</v>
          </cell>
          <cell r="E28" t="str">
            <v>DI1Oct 30</v>
          </cell>
          <cell r="F28" t="str">
            <v>DI1V30</v>
          </cell>
          <cell r="G28" t="str">
            <v>13.275</v>
          </cell>
          <cell r="H28">
            <v>4.327983354536487</v>
          </cell>
          <cell r="I28" t="str">
            <v/>
          </cell>
          <cell r="O28">
            <v>37683</v>
          </cell>
        </row>
        <row r="29">
          <cell r="C29">
            <v>47850</v>
          </cell>
          <cell r="E29" t="str">
            <v>DI1Jan 31</v>
          </cell>
          <cell r="F29" t="str">
            <v>DI1F31</v>
          </cell>
          <cell r="G29" t="str">
            <v>13.298</v>
          </cell>
          <cell r="H29">
            <v>4.4268643051187748</v>
          </cell>
          <cell r="I29">
            <v>13.263680781758957</v>
          </cell>
          <cell r="O29">
            <v>37684</v>
          </cell>
        </row>
        <row r="30">
          <cell r="C30">
            <v>47939</v>
          </cell>
          <cell r="E30" t="str">
            <v>DI1Apr 31</v>
          </cell>
          <cell r="F30" t="str">
            <v>DI1J31</v>
          </cell>
          <cell r="G30" t="str">
            <v>13.313</v>
          </cell>
          <cell r="H30">
            <v>4.5137119244226103</v>
          </cell>
          <cell r="I30" t="str">
            <v/>
          </cell>
          <cell r="O30">
            <v>37729</v>
          </cell>
        </row>
        <row r="31">
          <cell r="C31">
            <v>48030</v>
          </cell>
          <cell r="E31" t="str">
            <v>DI1Jul 31</v>
          </cell>
          <cell r="F31" t="str">
            <v>DI1N31</v>
          </cell>
          <cell r="G31" t="str">
            <v>13.333</v>
          </cell>
          <cell r="H31">
            <v>4.589584134071349</v>
          </cell>
          <cell r="I31" t="str">
            <v/>
          </cell>
          <cell r="O31">
            <v>37732</v>
          </cell>
        </row>
        <row r="32">
          <cell r="C32">
            <v>48215</v>
          </cell>
          <cell r="E32" t="str">
            <v>DI1Jan 32</v>
          </cell>
          <cell r="F32" t="str">
            <v>DI1F32</v>
          </cell>
          <cell r="G32" t="str">
            <v>13.378</v>
          </cell>
          <cell r="H32">
            <v>4.7199067405255422</v>
          </cell>
          <cell r="I32" t="str">
            <v/>
          </cell>
          <cell r="O32">
            <v>37742</v>
          </cell>
        </row>
        <row r="33">
          <cell r="C33">
            <v>48582</v>
          </cell>
          <cell r="E33" t="str">
            <v>DI1Jan 33</v>
          </cell>
          <cell r="F33" t="str">
            <v>DI1F33</v>
          </cell>
          <cell r="G33" t="str">
            <v>13.423</v>
          </cell>
          <cell r="H33">
            <v>4.8809763616708759</v>
          </cell>
          <cell r="I33">
            <v>13.370428571428572</v>
          </cell>
          <cell r="O33">
            <v>37791</v>
          </cell>
        </row>
        <row r="34">
          <cell r="C34">
            <v>48946</v>
          </cell>
          <cell r="E34" t="str">
            <v>DI1Jan 34</v>
          </cell>
          <cell r="F34" t="str">
            <v>DI1F34</v>
          </cell>
          <cell r="G34" t="str">
            <v>13.441</v>
          </cell>
          <cell r="H34">
            <v>4.9405822733723861</v>
          </cell>
          <cell r="I34" t="str">
            <v/>
          </cell>
          <cell r="O34">
            <v>37871</v>
          </cell>
        </row>
        <row r="35">
          <cell r="C35">
            <v>49311</v>
          </cell>
          <cell r="E35" t="str">
            <v>DI1Jan 35</v>
          </cell>
          <cell r="F35" t="str">
            <v>DI1F35</v>
          </cell>
          <cell r="G35" t="str">
            <v>13.443</v>
          </cell>
          <cell r="H35">
            <v>4.9224685085531608</v>
          </cell>
          <cell r="I35">
            <v>13.452429906542056</v>
          </cell>
          <cell r="O35">
            <v>37906</v>
          </cell>
        </row>
        <row r="36">
          <cell r="C36">
            <v>49676</v>
          </cell>
          <cell r="E36" t="str">
            <v>DI1Jan 36</v>
          </cell>
          <cell r="F36" t="str">
            <v>DI1F36</v>
          </cell>
          <cell r="G36" t="str">
            <v>13.437</v>
          </cell>
          <cell r="H36">
            <v>4.8441012587136356</v>
          </cell>
          <cell r="I36" t="str">
            <v/>
          </cell>
          <cell r="O36">
            <v>37927</v>
          </cell>
        </row>
        <row r="37">
          <cell r="C37">
            <v>50042</v>
          </cell>
          <cell r="E37" t="str">
            <v>DI1Jan 37</v>
          </cell>
          <cell r="F37" t="str">
            <v>DI1F37</v>
          </cell>
          <cell r="G37" t="str">
            <v>13.460</v>
          </cell>
          <cell r="H37">
            <v>4.7010380687753726</v>
          </cell>
          <cell r="I37">
            <v>13.598316831683169</v>
          </cell>
          <cell r="O37">
            <v>37940</v>
          </cell>
        </row>
        <row r="38">
          <cell r="C38">
            <v>50409</v>
          </cell>
          <cell r="E38" t="str">
            <v>DI1Jan 38</v>
          </cell>
          <cell r="F38" t="str">
            <v>DI1F38</v>
          </cell>
          <cell r="G38" t="str">
            <v>13.450</v>
          </cell>
          <cell r="H38">
            <v>4.5393984654184836</v>
          </cell>
          <cell r="I38" t="str">
            <v/>
          </cell>
          <cell r="O38">
            <v>37980</v>
          </cell>
        </row>
        <row r="39">
          <cell r="C39">
            <v>50773</v>
          </cell>
          <cell r="E39" t="str">
            <v>DI1Jan 39</v>
          </cell>
          <cell r="F39" t="str">
            <v>DI1F39</v>
          </cell>
          <cell r="G39" t="str">
            <v>13.432</v>
          </cell>
          <cell r="H39">
            <v>4.3550462462805557</v>
          </cell>
          <cell r="I39" t="str">
            <v/>
          </cell>
          <cell r="O39">
            <v>37987</v>
          </cell>
        </row>
        <row r="40">
          <cell r="C40">
            <v>51137</v>
          </cell>
          <cell r="E40" t="str">
            <v>DI1Jan 40</v>
          </cell>
          <cell r="F40" t="str">
            <v>DI1F40</v>
          </cell>
          <cell r="G40" t="str">
            <v>13.415</v>
          </cell>
          <cell r="H40">
            <v>4.152994227107718</v>
          </cell>
          <cell r="I40" t="str">
            <v/>
          </cell>
          <cell r="O40">
            <v>38040</v>
          </cell>
        </row>
        <row r="41">
          <cell r="O41">
            <v>38041</v>
          </cell>
        </row>
        <row r="42">
          <cell r="O42">
            <v>38086</v>
          </cell>
        </row>
        <row r="43">
          <cell r="O43">
            <v>38098</v>
          </cell>
        </row>
        <row r="44">
          <cell r="O44">
            <v>38108</v>
          </cell>
        </row>
        <row r="45">
          <cell r="O45">
            <v>38148</v>
          </cell>
        </row>
        <row r="46">
          <cell r="O46">
            <v>38237</v>
          </cell>
        </row>
        <row r="47">
          <cell r="O47">
            <v>38272</v>
          </cell>
        </row>
        <row r="48">
          <cell r="O48">
            <v>38293</v>
          </cell>
        </row>
        <row r="49">
          <cell r="O49">
            <v>38306</v>
          </cell>
        </row>
        <row r="50">
          <cell r="O50">
            <v>38346</v>
          </cell>
        </row>
        <row r="51">
          <cell r="O51">
            <v>38353</v>
          </cell>
        </row>
        <row r="52">
          <cell r="O52">
            <v>38390</v>
          </cell>
        </row>
        <row r="53">
          <cell r="O53">
            <v>38391</v>
          </cell>
        </row>
        <row r="54">
          <cell r="O54">
            <v>38436</v>
          </cell>
        </row>
        <row r="55">
          <cell r="O55">
            <v>38463</v>
          </cell>
        </row>
        <row r="56">
          <cell r="O56">
            <v>38473</v>
          </cell>
        </row>
        <row r="57">
          <cell r="O57">
            <v>38498</v>
          </cell>
        </row>
        <row r="58">
          <cell r="O58">
            <v>38602</v>
          </cell>
        </row>
        <row r="59">
          <cell r="O59">
            <v>38637</v>
          </cell>
        </row>
        <row r="60">
          <cell r="O60">
            <v>38658</v>
          </cell>
        </row>
        <row r="61">
          <cell r="O61">
            <v>38671</v>
          </cell>
        </row>
        <row r="62">
          <cell r="O62">
            <v>38711</v>
          </cell>
        </row>
        <row r="63">
          <cell r="O63">
            <v>38718</v>
          </cell>
        </row>
        <row r="64">
          <cell r="O64">
            <v>38775</v>
          </cell>
        </row>
        <row r="65">
          <cell r="O65">
            <v>38776</v>
          </cell>
        </row>
        <row r="66">
          <cell r="O66">
            <v>38821</v>
          </cell>
        </row>
        <row r="67">
          <cell r="O67">
            <v>38828</v>
          </cell>
        </row>
        <row r="68">
          <cell r="O68">
            <v>38838</v>
          </cell>
        </row>
        <row r="69">
          <cell r="O69">
            <v>38883</v>
          </cell>
        </row>
        <row r="70">
          <cell r="O70">
            <v>38967</v>
          </cell>
        </row>
        <row r="71">
          <cell r="O71">
            <v>39002</v>
          </cell>
        </row>
        <row r="72">
          <cell r="O72">
            <v>39023</v>
          </cell>
        </row>
        <row r="73">
          <cell r="O73">
            <v>39036</v>
          </cell>
        </row>
        <row r="74">
          <cell r="O74">
            <v>39076</v>
          </cell>
        </row>
        <row r="75">
          <cell r="O75">
            <v>39083</v>
          </cell>
        </row>
        <row r="76">
          <cell r="O76">
            <v>39132</v>
          </cell>
        </row>
        <row r="77">
          <cell r="O77">
            <v>39133</v>
          </cell>
        </row>
        <row r="78">
          <cell r="O78">
            <v>39178</v>
          </cell>
        </row>
        <row r="79">
          <cell r="O79">
            <v>39193</v>
          </cell>
        </row>
        <row r="80">
          <cell r="O80">
            <v>39203</v>
          </cell>
        </row>
        <row r="81">
          <cell r="O81">
            <v>39240</v>
          </cell>
        </row>
        <row r="82">
          <cell r="O82">
            <v>39332</v>
          </cell>
        </row>
        <row r="83">
          <cell r="O83">
            <v>39367</v>
          </cell>
        </row>
        <row r="84">
          <cell r="O84">
            <v>39388</v>
          </cell>
        </row>
        <row r="85">
          <cell r="O85">
            <v>39401</v>
          </cell>
        </row>
        <row r="86">
          <cell r="O86">
            <v>39441</v>
          </cell>
        </row>
        <row r="87">
          <cell r="O87">
            <v>39448</v>
          </cell>
        </row>
        <row r="88">
          <cell r="O88">
            <v>39482</v>
          </cell>
        </row>
        <row r="89">
          <cell r="O89">
            <v>39483</v>
          </cell>
        </row>
        <row r="90">
          <cell r="O90">
            <v>39528</v>
          </cell>
        </row>
        <row r="91">
          <cell r="O91">
            <v>39559</v>
          </cell>
        </row>
        <row r="92">
          <cell r="O92">
            <v>39569</v>
          </cell>
        </row>
        <row r="93">
          <cell r="O93">
            <v>39590</v>
          </cell>
        </row>
        <row r="94">
          <cell r="O94">
            <v>39698</v>
          </cell>
        </row>
        <row r="95">
          <cell r="O95">
            <v>39733</v>
          </cell>
        </row>
        <row r="96">
          <cell r="O96">
            <v>39754</v>
          </cell>
        </row>
        <row r="97">
          <cell r="O97">
            <v>39767</v>
          </cell>
        </row>
        <row r="98">
          <cell r="O98">
            <v>39807</v>
          </cell>
        </row>
        <row r="99">
          <cell r="O99">
            <v>39814</v>
          </cell>
        </row>
        <row r="100">
          <cell r="O100">
            <v>39867</v>
          </cell>
        </row>
        <row r="101">
          <cell r="O101">
            <v>39868</v>
          </cell>
        </row>
        <row r="102">
          <cell r="O102">
            <v>39913</v>
          </cell>
        </row>
        <row r="103">
          <cell r="O103">
            <v>39924</v>
          </cell>
        </row>
        <row r="104">
          <cell r="O104">
            <v>39934</v>
          </cell>
        </row>
        <row r="105">
          <cell r="O105">
            <v>39975</v>
          </cell>
        </row>
        <row r="106">
          <cell r="O106">
            <v>40063</v>
          </cell>
        </row>
        <row r="107">
          <cell r="O107">
            <v>40098</v>
          </cell>
        </row>
        <row r="108">
          <cell r="O108">
            <v>40119</v>
          </cell>
        </row>
        <row r="109">
          <cell r="O109">
            <v>40132</v>
          </cell>
        </row>
        <row r="110">
          <cell r="O110">
            <v>40172</v>
          </cell>
        </row>
        <row r="111">
          <cell r="O111">
            <v>40179</v>
          </cell>
        </row>
        <row r="112">
          <cell r="O112">
            <v>40224</v>
          </cell>
        </row>
        <row r="113">
          <cell r="O113">
            <v>40225</v>
          </cell>
        </row>
        <row r="114">
          <cell r="O114">
            <v>40270</v>
          </cell>
        </row>
        <row r="115">
          <cell r="O115">
            <v>40289</v>
          </cell>
        </row>
        <row r="116">
          <cell r="O116">
            <v>40299</v>
          </cell>
        </row>
        <row r="117">
          <cell r="O117">
            <v>40332</v>
          </cell>
        </row>
        <row r="118">
          <cell r="O118">
            <v>40428</v>
          </cell>
        </row>
        <row r="119">
          <cell r="O119">
            <v>40463</v>
          </cell>
        </row>
        <row r="120">
          <cell r="O120">
            <v>40484</v>
          </cell>
        </row>
        <row r="121">
          <cell r="O121">
            <v>40497</v>
          </cell>
        </row>
        <row r="122">
          <cell r="O122">
            <v>40537</v>
          </cell>
        </row>
        <row r="123">
          <cell r="O123">
            <v>40544</v>
          </cell>
        </row>
        <row r="124">
          <cell r="O124">
            <v>40609</v>
          </cell>
        </row>
        <row r="125">
          <cell r="O125">
            <v>40610</v>
          </cell>
        </row>
        <row r="126">
          <cell r="O126">
            <v>40654</v>
          </cell>
        </row>
        <row r="127">
          <cell r="O127">
            <v>40655</v>
          </cell>
        </row>
        <row r="128">
          <cell r="O128">
            <v>40664</v>
          </cell>
        </row>
        <row r="129">
          <cell r="O129">
            <v>40717</v>
          </cell>
        </row>
        <row r="130">
          <cell r="O130">
            <v>40793</v>
          </cell>
        </row>
        <row r="131">
          <cell r="O131">
            <v>40828</v>
          </cell>
        </row>
        <row r="132">
          <cell r="O132">
            <v>40849</v>
          </cell>
        </row>
        <row r="133">
          <cell r="O133">
            <v>40862</v>
          </cell>
        </row>
        <row r="134">
          <cell r="O134">
            <v>40902</v>
          </cell>
        </row>
        <row r="135">
          <cell r="O135">
            <v>40909</v>
          </cell>
        </row>
        <row r="136">
          <cell r="O136">
            <v>40959</v>
          </cell>
        </row>
        <row r="137">
          <cell r="O137">
            <v>40960</v>
          </cell>
        </row>
        <row r="138">
          <cell r="O138">
            <v>41005</v>
          </cell>
        </row>
        <row r="139">
          <cell r="O139">
            <v>41020</v>
          </cell>
        </row>
        <row r="140">
          <cell r="O140">
            <v>41030</v>
          </cell>
        </row>
        <row r="141">
          <cell r="O141">
            <v>41067</v>
          </cell>
        </row>
        <row r="142">
          <cell r="O142">
            <v>41159</v>
          </cell>
        </row>
        <row r="143">
          <cell r="O143">
            <v>41194</v>
          </cell>
        </row>
        <row r="144">
          <cell r="O144">
            <v>41215</v>
          </cell>
        </row>
        <row r="145">
          <cell r="O145">
            <v>41228</v>
          </cell>
        </row>
        <row r="146">
          <cell r="O146">
            <v>41268</v>
          </cell>
        </row>
        <row r="147">
          <cell r="O147">
            <v>41275</v>
          </cell>
        </row>
        <row r="148">
          <cell r="O148">
            <v>41316</v>
          </cell>
        </row>
        <row r="149">
          <cell r="O149">
            <v>41317</v>
          </cell>
        </row>
        <row r="150">
          <cell r="O150">
            <v>41362</v>
          </cell>
        </row>
        <row r="151">
          <cell r="O151">
            <v>41385</v>
          </cell>
        </row>
        <row r="152">
          <cell r="O152">
            <v>41395</v>
          </cell>
        </row>
        <row r="153">
          <cell r="O153">
            <v>41424</v>
          </cell>
        </row>
        <row r="154">
          <cell r="O154">
            <v>41524</v>
          </cell>
        </row>
        <row r="155">
          <cell r="O155">
            <v>41559</v>
          </cell>
        </row>
        <row r="156">
          <cell r="O156">
            <v>41580</v>
          </cell>
        </row>
        <row r="157">
          <cell r="O157">
            <v>41593</v>
          </cell>
        </row>
        <row r="158">
          <cell r="O158">
            <v>41633</v>
          </cell>
        </row>
        <row r="159">
          <cell r="O159">
            <v>41640</v>
          </cell>
        </row>
        <row r="160">
          <cell r="O160">
            <v>41701</v>
          </cell>
        </row>
        <row r="161">
          <cell r="O161">
            <v>41702</v>
          </cell>
        </row>
        <row r="162">
          <cell r="O162">
            <v>41747</v>
          </cell>
        </row>
        <row r="163">
          <cell r="O163">
            <v>41750</v>
          </cell>
        </row>
        <row r="164">
          <cell r="O164">
            <v>41760</v>
          </cell>
        </row>
        <row r="165">
          <cell r="O165">
            <v>41809</v>
          </cell>
        </row>
        <row r="166">
          <cell r="O166">
            <v>41889</v>
          </cell>
        </row>
        <row r="167">
          <cell r="O167">
            <v>41924</v>
          </cell>
        </row>
        <row r="168">
          <cell r="O168">
            <v>41945</v>
          </cell>
        </row>
        <row r="169">
          <cell r="O169">
            <v>41958</v>
          </cell>
        </row>
        <row r="170">
          <cell r="O170">
            <v>41998</v>
          </cell>
        </row>
        <row r="171">
          <cell r="O171">
            <v>42005</v>
          </cell>
        </row>
        <row r="172">
          <cell r="O172">
            <v>42051</v>
          </cell>
        </row>
        <row r="173">
          <cell r="O173">
            <v>42052</v>
          </cell>
        </row>
        <row r="174">
          <cell r="O174">
            <v>42097</v>
          </cell>
        </row>
        <row r="175">
          <cell r="O175">
            <v>42115</v>
          </cell>
        </row>
        <row r="176">
          <cell r="O176">
            <v>42125</v>
          </cell>
        </row>
        <row r="177">
          <cell r="O177">
            <v>42159</v>
          </cell>
        </row>
        <row r="178">
          <cell r="O178">
            <v>42254</v>
          </cell>
        </row>
        <row r="179">
          <cell r="O179">
            <v>42289</v>
          </cell>
        </row>
        <row r="180">
          <cell r="O180">
            <v>42310</v>
          </cell>
        </row>
        <row r="181">
          <cell r="O181">
            <v>42323</v>
          </cell>
        </row>
        <row r="182">
          <cell r="O182">
            <v>42363</v>
          </cell>
        </row>
        <row r="183">
          <cell r="O183">
            <v>42370</v>
          </cell>
        </row>
        <row r="184">
          <cell r="O184">
            <v>42408</v>
          </cell>
        </row>
        <row r="185">
          <cell r="O185">
            <v>42409</v>
          </cell>
        </row>
        <row r="186">
          <cell r="O186">
            <v>42454</v>
          </cell>
        </row>
        <row r="187">
          <cell r="O187">
            <v>42481</v>
          </cell>
        </row>
        <row r="188">
          <cell r="O188">
            <v>42491</v>
          </cell>
        </row>
        <row r="189">
          <cell r="O189">
            <v>42516</v>
          </cell>
        </row>
        <row r="190">
          <cell r="O190">
            <v>42620</v>
          </cell>
        </row>
        <row r="191">
          <cell r="O191">
            <v>42655</v>
          </cell>
        </row>
        <row r="192">
          <cell r="O192">
            <v>42676</v>
          </cell>
        </row>
        <row r="193">
          <cell r="O193">
            <v>42689</v>
          </cell>
        </row>
        <row r="194">
          <cell r="O194">
            <v>42729</v>
          </cell>
        </row>
        <row r="195">
          <cell r="O195">
            <v>42736</v>
          </cell>
        </row>
        <row r="196">
          <cell r="O196">
            <v>42793</v>
          </cell>
        </row>
        <row r="197">
          <cell r="O197">
            <v>42794</v>
          </cell>
        </row>
        <row r="198">
          <cell r="O198">
            <v>42839</v>
          </cell>
        </row>
        <row r="199">
          <cell r="O199">
            <v>42846</v>
          </cell>
        </row>
        <row r="200">
          <cell r="O200">
            <v>42856</v>
          </cell>
        </row>
        <row r="201">
          <cell r="O201">
            <v>42901</v>
          </cell>
        </row>
        <row r="202">
          <cell r="O202">
            <v>42985</v>
          </cell>
        </row>
        <row r="203">
          <cell r="O203">
            <v>43020</v>
          </cell>
        </row>
        <row r="204">
          <cell r="O204">
            <v>43041</v>
          </cell>
        </row>
        <row r="205">
          <cell r="O205">
            <v>43054</v>
          </cell>
        </row>
        <row r="206">
          <cell r="O206">
            <v>43094</v>
          </cell>
        </row>
        <row r="207">
          <cell r="O207">
            <v>43101</v>
          </cell>
        </row>
        <row r="208">
          <cell r="O208">
            <v>43143</v>
          </cell>
        </row>
        <row r="209">
          <cell r="O209">
            <v>43144</v>
          </cell>
        </row>
        <row r="210">
          <cell r="O210">
            <v>43189</v>
          </cell>
        </row>
        <row r="211">
          <cell r="O211">
            <v>43211</v>
          </cell>
        </row>
        <row r="212">
          <cell r="O212">
            <v>43221</v>
          </cell>
        </row>
        <row r="213">
          <cell r="O213">
            <v>43251</v>
          </cell>
        </row>
        <row r="214">
          <cell r="O214">
            <v>43350</v>
          </cell>
        </row>
        <row r="215">
          <cell r="O215">
            <v>43385</v>
          </cell>
        </row>
        <row r="216">
          <cell r="O216">
            <v>43406</v>
          </cell>
        </row>
        <row r="217">
          <cell r="O217">
            <v>43419</v>
          </cell>
        </row>
        <row r="218">
          <cell r="O218">
            <v>43459</v>
          </cell>
        </row>
        <row r="219">
          <cell r="O219">
            <v>43466</v>
          </cell>
        </row>
        <row r="220">
          <cell r="O220">
            <v>43528</v>
          </cell>
        </row>
        <row r="221">
          <cell r="O221">
            <v>43529</v>
          </cell>
        </row>
        <row r="222">
          <cell r="O222">
            <v>43574</v>
          </cell>
        </row>
        <row r="223">
          <cell r="O223">
            <v>43576</v>
          </cell>
        </row>
        <row r="224">
          <cell r="O224">
            <v>43586</v>
          </cell>
        </row>
        <row r="225">
          <cell r="O225">
            <v>43636</v>
          </cell>
        </row>
        <row r="226">
          <cell r="O226">
            <v>43715</v>
          </cell>
        </row>
        <row r="227">
          <cell r="O227">
            <v>43750</v>
          </cell>
        </row>
        <row r="228">
          <cell r="O228">
            <v>43771</v>
          </cell>
        </row>
        <row r="229">
          <cell r="O229">
            <v>43784</v>
          </cell>
        </row>
        <row r="230">
          <cell r="O230">
            <v>43824</v>
          </cell>
        </row>
        <row r="231">
          <cell r="O231">
            <v>43831</v>
          </cell>
        </row>
        <row r="232">
          <cell r="O232">
            <v>43885</v>
          </cell>
        </row>
        <row r="233">
          <cell r="O233">
            <v>43886</v>
          </cell>
        </row>
        <row r="234">
          <cell r="O234">
            <v>43931</v>
          </cell>
        </row>
        <row r="235">
          <cell r="O235">
            <v>43942</v>
          </cell>
        </row>
        <row r="236">
          <cell r="O236">
            <v>43952</v>
          </cell>
        </row>
        <row r="237">
          <cell r="O237">
            <v>43993</v>
          </cell>
        </row>
        <row r="238">
          <cell r="O238">
            <v>44081</v>
          </cell>
        </row>
        <row r="239">
          <cell r="O239">
            <v>44116</v>
          </cell>
        </row>
        <row r="240">
          <cell r="O240">
            <v>44137</v>
          </cell>
        </row>
        <row r="241">
          <cell r="O241">
            <v>44150</v>
          </cell>
        </row>
        <row r="242">
          <cell r="O242">
            <v>44190</v>
          </cell>
        </row>
        <row r="243">
          <cell r="O243">
            <v>44197</v>
          </cell>
        </row>
        <row r="244">
          <cell r="O244">
            <v>44242</v>
          </cell>
        </row>
        <row r="245">
          <cell r="O245">
            <v>44243</v>
          </cell>
        </row>
        <row r="246">
          <cell r="O246">
            <v>44288</v>
          </cell>
        </row>
        <row r="247">
          <cell r="O247">
            <v>44307</v>
          </cell>
        </row>
        <row r="248">
          <cell r="O248">
            <v>44317</v>
          </cell>
        </row>
        <row r="249">
          <cell r="O249">
            <v>44350</v>
          </cell>
        </row>
        <row r="250">
          <cell r="O250">
            <v>44446</v>
          </cell>
        </row>
        <row r="251">
          <cell r="O251">
            <v>44481</v>
          </cell>
        </row>
        <row r="252">
          <cell r="O252">
            <v>44502</v>
          </cell>
        </row>
        <row r="253">
          <cell r="O253">
            <v>44515</v>
          </cell>
        </row>
        <row r="254">
          <cell r="O254">
            <v>44555</v>
          </cell>
        </row>
        <row r="255">
          <cell r="O255">
            <v>44562</v>
          </cell>
        </row>
        <row r="256">
          <cell r="O256">
            <v>44620</v>
          </cell>
        </row>
        <row r="257">
          <cell r="O257">
            <v>44621</v>
          </cell>
        </row>
        <row r="258">
          <cell r="O258">
            <v>44666</v>
          </cell>
        </row>
        <row r="259">
          <cell r="O259">
            <v>44672</v>
          </cell>
        </row>
        <row r="260">
          <cell r="O260">
            <v>44682</v>
          </cell>
        </row>
        <row r="261">
          <cell r="O261">
            <v>44728</v>
          </cell>
        </row>
        <row r="262">
          <cell r="O262">
            <v>44811</v>
          </cell>
        </row>
        <row r="263">
          <cell r="O263">
            <v>44846</v>
          </cell>
        </row>
        <row r="264">
          <cell r="O264">
            <v>44867</v>
          </cell>
        </row>
        <row r="265">
          <cell r="O265">
            <v>44880</v>
          </cell>
        </row>
        <row r="266">
          <cell r="O266">
            <v>44920</v>
          </cell>
        </row>
        <row r="267">
          <cell r="O267">
            <v>44927</v>
          </cell>
        </row>
        <row r="268">
          <cell r="O268">
            <v>44977</v>
          </cell>
        </row>
        <row r="269">
          <cell r="O269">
            <v>44978</v>
          </cell>
        </row>
        <row r="270">
          <cell r="O270">
            <v>45023</v>
          </cell>
        </row>
        <row r="271">
          <cell r="O271">
            <v>45037</v>
          </cell>
        </row>
        <row r="272">
          <cell r="O272">
            <v>45047</v>
          </cell>
        </row>
        <row r="273">
          <cell r="O273">
            <v>45085</v>
          </cell>
        </row>
        <row r="274">
          <cell r="O274">
            <v>45176</v>
          </cell>
        </row>
        <row r="275">
          <cell r="O275">
            <v>45211</v>
          </cell>
        </row>
        <row r="276">
          <cell r="O276">
            <v>45232</v>
          </cell>
        </row>
        <row r="277">
          <cell r="O277">
            <v>45245</v>
          </cell>
        </row>
        <row r="278">
          <cell r="O278">
            <v>45285</v>
          </cell>
        </row>
        <row r="279">
          <cell r="O279">
            <v>45292</v>
          </cell>
        </row>
        <row r="280">
          <cell r="O280">
            <v>45334</v>
          </cell>
        </row>
        <row r="281">
          <cell r="O281">
            <v>45335</v>
          </cell>
        </row>
        <row r="282">
          <cell r="O282">
            <v>45380</v>
          </cell>
        </row>
        <row r="283">
          <cell r="O283">
            <v>45403</v>
          </cell>
        </row>
        <row r="284">
          <cell r="O284">
            <v>45413</v>
          </cell>
        </row>
        <row r="285">
          <cell r="O285">
            <v>45442</v>
          </cell>
        </row>
        <row r="286">
          <cell r="O286">
            <v>45542</v>
          </cell>
        </row>
        <row r="287">
          <cell r="O287">
            <v>45577</v>
          </cell>
        </row>
        <row r="288">
          <cell r="O288">
            <v>45598</v>
          </cell>
        </row>
        <row r="289">
          <cell r="O289">
            <v>45611</v>
          </cell>
        </row>
        <row r="290">
          <cell r="O290">
            <v>45616</v>
          </cell>
        </row>
        <row r="291">
          <cell r="O291">
            <v>45651</v>
          </cell>
        </row>
        <row r="292">
          <cell r="O292">
            <v>45658</v>
          </cell>
        </row>
        <row r="293">
          <cell r="O293">
            <v>45719</v>
          </cell>
        </row>
        <row r="294">
          <cell r="O294">
            <v>45720</v>
          </cell>
        </row>
        <row r="295">
          <cell r="O295">
            <v>45765</v>
          </cell>
        </row>
        <row r="296">
          <cell r="O296">
            <v>45768</v>
          </cell>
        </row>
        <row r="297">
          <cell r="O297">
            <v>45778</v>
          </cell>
        </row>
        <row r="298">
          <cell r="O298">
            <v>45827</v>
          </cell>
        </row>
        <row r="299">
          <cell r="O299">
            <v>45907</v>
          </cell>
        </row>
        <row r="300">
          <cell r="O300">
            <v>45942</v>
          </cell>
        </row>
        <row r="301">
          <cell r="O301">
            <v>45963</v>
          </cell>
        </row>
        <row r="302">
          <cell r="O302">
            <v>45976</v>
          </cell>
        </row>
        <row r="303">
          <cell r="O303">
            <v>45981</v>
          </cell>
        </row>
        <row r="304">
          <cell r="O304">
            <v>46016</v>
          </cell>
        </row>
        <row r="305">
          <cell r="O305">
            <v>46023</v>
          </cell>
        </row>
        <row r="306">
          <cell r="O306">
            <v>46069</v>
          </cell>
        </row>
        <row r="307">
          <cell r="O307">
            <v>46070</v>
          </cell>
        </row>
        <row r="308">
          <cell r="O308">
            <v>46115</v>
          </cell>
        </row>
        <row r="309">
          <cell r="O309">
            <v>46133</v>
          </cell>
        </row>
        <row r="310">
          <cell r="O310">
            <v>46143</v>
          </cell>
        </row>
        <row r="311">
          <cell r="O311">
            <v>46177</v>
          </cell>
        </row>
        <row r="312">
          <cell r="O312">
            <v>46272</v>
          </cell>
        </row>
        <row r="313">
          <cell r="O313">
            <v>46307</v>
          </cell>
        </row>
        <row r="314">
          <cell r="O314">
            <v>46328</v>
          </cell>
        </row>
        <row r="315">
          <cell r="O315">
            <v>46341</v>
          </cell>
        </row>
        <row r="316">
          <cell r="O316">
            <v>46346</v>
          </cell>
        </row>
        <row r="317">
          <cell r="O317">
            <v>46381</v>
          </cell>
        </row>
        <row r="318">
          <cell r="O318">
            <v>46388</v>
          </cell>
        </row>
        <row r="319">
          <cell r="O319">
            <v>46426</v>
          </cell>
        </row>
        <row r="320">
          <cell r="O320">
            <v>46427</v>
          </cell>
        </row>
        <row r="321">
          <cell r="O321">
            <v>46472</v>
          </cell>
        </row>
        <row r="322">
          <cell r="O322">
            <v>46498</v>
          </cell>
        </row>
        <row r="323">
          <cell r="O323">
            <v>46508</v>
          </cell>
        </row>
        <row r="324">
          <cell r="O324">
            <v>46534</v>
          </cell>
        </row>
        <row r="325">
          <cell r="O325">
            <v>46637</v>
          </cell>
        </row>
        <row r="326">
          <cell r="O326">
            <v>46672</v>
          </cell>
        </row>
        <row r="327">
          <cell r="O327">
            <v>46693</v>
          </cell>
        </row>
        <row r="328">
          <cell r="O328">
            <v>46706</v>
          </cell>
        </row>
        <row r="329">
          <cell r="O329">
            <v>46711</v>
          </cell>
        </row>
        <row r="330">
          <cell r="O330">
            <v>46746</v>
          </cell>
        </row>
        <row r="331">
          <cell r="O331">
            <v>46753</v>
          </cell>
        </row>
        <row r="332">
          <cell r="O332">
            <v>46811</v>
          </cell>
        </row>
        <row r="333">
          <cell r="O333">
            <v>46812</v>
          </cell>
        </row>
        <row r="334">
          <cell r="O334">
            <v>46857</v>
          </cell>
        </row>
        <row r="335">
          <cell r="O335">
            <v>46864</v>
          </cell>
        </row>
        <row r="336">
          <cell r="O336">
            <v>46874</v>
          </cell>
        </row>
        <row r="337">
          <cell r="O337">
            <v>46919</v>
          </cell>
        </row>
        <row r="338">
          <cell r="O338">
            <v>47003</v>
          </cell>
        </row>
        <row r="339">
          <cell r="O339">
            <v>47038</v>
          </cell>
        </row>
        <row r="340">
          <cell r="O340">
            <v>47059</v>
          </cell>
        </row>
        <row r="341">
          <cell r="O341">
            <v>47072</v>
          </cell>
        </row>
        <row r="342">
          <cell r="O342">
            <v>47077</v>
          </cell>
        </row>
        <row r="343">
          <cell r="O343">
            <v>47112</v>
          </cell>
        </row>
        <row r="344">
          <cell r="O344">
            <v>47119</v>
          </cell>
        </row>
        <row r="345">
          <cell r="O345">
            <v>47161</v>
          </cell>
        </row>
        <row r="346">
          <cell r="O346">
            <v>47162</v>
          </cell>
        </row>
        <row r="347">
          <cell r="O347">
            <v>47207</v>
          </cell>
        </row>
        <row r="348">
          <cell r="O348">
            <v>47229</v>
          </cell>
        </row>
        <row r="349">
          <cell r="O349">
            <v>47239</v>
          </cell>
        </row>
        <row r="350">
          <cell r="O350">
            <v>47269</v>
          </cell>
        </row>
        <row r="351">
          <cell r="O351">
            <v>47368</v>
          </cell>
        </row>
        <row r="352">
          <cell r="O352">
            <v>47403</v>
          </cell>
        </row>
        <row r="353">
          <cell r="O353">
            <v>47424</v>
          </cell>
        </row>
        <row r="354">
          <cell r="O354">
            <v>47437</v>
          </cell>
        </row>
        <row r="355">
          <cell r="O355">
            <v>47442</v>
          </cell>
        </row>
        <row r="356">
          <cell r="O356">
            <v>47477</v>
          </cell>
        </row>
        <row r="357">
          <cell r="O357">
            <v>47484</v>
          </cell>
        </row>
        <row r="358">
          <cell r="O358">
            <v>47546</v>
          </cell>
        </row>
        <row r="359">
          <cell r="O359">
            <v>47547</v>
          </cell>
        </row>
        <row r="360">
          <cell r="O360">
            <v>47592</v>
          </cell>
        </row>
        <row r="361">
          <cell r="O361">
            <v>47594</v>
          </cell>
        </row>
        <row r="362">
          <cell r="O362">
            <v>47604</v>
          </cell>
        </row>
        <row r="363">
          <cell r="O363">
            <v>47654</v>
          </cell>
        </row>
        <row r="364">
          <cell r="O364">
            <v>47733</v>
          </cell>
        </row>
        <row r="365">
          <cell r="O365">
            <v>47768</v>
          </cell>
        </row>
        <row r="366">
          <cell r="O366">
            <v>47789</v>
          </cell>
        </row>
        <row r="367">
          <cell r="O367">
            <v>47802</v>
          </cell>
        </row>
        <row r="368">
          <cell r="O368">
            <v>47807</v>
          </cell>
        </row>
        <row r="369">
          <cell r="O369">
            <v>47842</v>
          </cell>
        </row>
        <row r="370">
          <cell r="O370">
            <v>47849</v>
          </cell>
        </row>
        <row r="371">
          <cell r="O371">
            <v>47903</v>
          </cell>
        </row>
        <row r="372">
          <cell r="O372">
            <v>47904</v>
          </cell>
        </row>
        <row r="373">
          <cell r="O373">
            <v>47949</v>
          </cell>
        </row>
        <row r="374">
          <cell r="O374">
            <v>47959</v>
          </cell>
        </row>
        <row r="375">
          <cell r="O375">
            <v>47969</v>
          </cell>
        </row>
        <row r="376">
          <cell r="O376">
            <v>48011</v>
          </cell>
        </row>
        <row r="377">
          <cell r="O377">
            <v>48098</v>
          </cell>
        </row>
        <row r="378">
          <cell r="O378">
            <v>48133</v>
          </cell>
        </row>
        <row r="379">
          <cell r="O379">
            <v>48154</v>
          </cell>
        </row>
        <row r="380">
          <cell r="O380">
            <v>48167</v>
          </cell>
        </row>
        <row r="381">
          <cell r="O381">
            <v>48172</v>
          </cell>
        </row>
        <row r="382">
          <cell r="O382">
            <v>48207</v>
          </cell>
        </row>
        <row r="383">
          <cell r="O383">
            <v>48214</v>
          </cell>
        </row>
        <row r="384">
          <cell r="O384">
            <v>48253</v>
          </cell>
        </row>
        <row r="385">
          <cell r="O385">
            <v>48254</v>
          </cell>
        </row>
        <row r="386">
          <cell r="O386">
            <v>48299</v>
          </cell>
        </row>
        <row r="387">
          <cell r="O387">
            <v>48325</v>
          </cell>
        </row>
        <row r="388">
          <cell r="O388">
            <v>48335</v>
          </cell>
        </row>
        <row r="389">
          <cell r="O389">
            <v>48361</v>
          </cell>
        </row>
        <row r="390">
          <cell r="O390">
            <v>48464</v>
          </cell>
        </row>
        <row r="391">
          <cell r="O391">
            <v>48499</v>
          </cell>
        </row>
        <row r="392">
          <cell r="O392">
            <v>48520</v>
          </cell>
        </row>
        <row r="393">
          <cell r="O393">
            <v>48533</v>
          </cell>
        </row>
        <row r="394">
          <cell r="O394">
            <v>48538</v>
          </cell>
        </row>
        <row r="395">
          <cell r="O395">
            <v>48573</v>
          </cell>
        </row>
        <row r="396">
          <cell r="O396">
            <v>48580</v>
          </cell>
        </row>
        <row r="397">
          <cell r="O397">
            <v>48638</v>
          </cell>
        </row>
        <row r="398">
          <cell r="O398">
            <v>48639</v>
          </cell>
        </row>
        <row r="399">
          <cell r="O399">
            <v>48684</v>
          </cell>
        </row>
        <row r="400">
          <cell r="O400">
            <v>48690</v>
          </cell>
        </row>
        <row r="401">
          <cell r="O401">
            <v>48700</v>
          </cell>
        </row>
        <row r="402">
          <cell r="O402">
            <v>48746</v>
          </cell>
        </row>
        <row r="403">
          <cell r="O403">
            <v>48829</v>
          </cell>
        </row>
        <row r="404">
          <cell r="O404">
            <v>48864</v>
          </cell>
        </row>
        <row r="405">
          <cell r="O405">
            <v>48885</v>
          </cell>
        </row>
        <row r="406">
          <cell r="O406">
            <v>48898</v>
          </cell>
        </row>
        <row r="407">
          <cell r="O407">
            <v>48903</v>
          </cell>
        </row>
        <row r="408">
          <cell r="O408">
            <v>48938</v>
          </cell>
        </row>
        <row r="409">
          <cell r="O409">
            <v>48945</v>
          </cell>
        </row>
        <row r="410">
          <cell r="O410">
            <v>48995</v>
          </cell>
        </row>
        <row r="411">
          <cell r="O411">
            <v>48996</v>
          </cell>
        </row>
        <row r="412">
          <cell r="O412">
            <v>49041</v>
          </cell>
        </row>
        <row r="413">
          <cell r="O413">
            <v>49055</v>
          </cell>
        </row>
        <row r="414">
          <cell r="O414">
            <v>49065</v>
          </cell>
        </row>
        <row r="415">
          <cell r="O415">
            <v>49103</v>
          </cell>
        </row>
        <row r="416">
          <cell r="O416">
            <v>49194</v>
          </cell>
        </row>
        <row r="417">
          <cell r="O417">
            <v>49229</v>
          </cell>
        </row>
        <row r="418">
          <cell r="O418">
            <v>49250</v>
          </cell>
        </row>
        <row r="419">
          <cell r="O419">
            <v>49263</v>
          </cell>
        </row>
        <row r="420">
          <cell r="O420">
            <v>49268</v>
          </cell>
        </row>
        <row r="421">
          <cell r="O421">
            <v>49303</v>
          </cell>
        </row>
        <row r="422">
          <cell r="O422">
            <v>49310</v>
          </cell>
        </row>
        <row r="423">
          <cell r="O423">
            <v>49345</v>
          </cell>
        </row>
        <row r="424">
          <cell r="O424">
            <v>49346</v>
          </cell>
        </row>
        <row r="425">
          <cell r="O425">
            <v>49391</v>
          </cell>
        </row>
        <row r="426">
          <cell r="O426">
            <v>49420</v>
          </cell>
        </row>
        <row r="427">
          <cell r="O427">
            <v>49430</v>
          </cell>
        </row>
        <row r="428">
          <cell r="O428">
            <v>49453</v>
          </cell>
        </row>
        <row r="429">
          <cell r="O429">
            <v>49559</v>
          </cell>
        </row>
        <row r="430">
          <cell r="O430">
            <v>49594</v>
          </cell>
        </row>
        <row r="431">
          <cell r="O431">
            <v>49615</v>
          </cell>
        </row>
        <row r="432">
          <cell r="O432">
            <v>49628</v>
          </cell>
        </row>
        <row r="433">
          <cell r="O433">
            <v>49633</v>
          </cell>
        </row>
        <row r="434">
          <cell r="O434">
            <v>49668</v>
          </cell>
        </row>
        <row r="435">
          <cell r="O435">
            <v>49675</v>
          </cell>
        </row>
        <row r="436">
          <cell r="O436">
            <v>49730</v>
          </cell>
        </row>
        <row r="437">
          <cell r="O437">
            <v>49731</v>
          </cell>
        </row>
        <row r="438">
          <cell r="O438">
            <v>49776</v>
          </cell>
        </row>
        <row r="439">
          <cell r="O439">
            <v>49786</v>
          </cell>
        </row>
        <row r="440">
          <cell r="O440">
            <v>49796</v>
          </cell>
        </row>
        <row r="441">
          <cell r="O441">
            <v>49838</v>
          </cell>
        </row>
        <row r="442">
          <cell r="O442">
            <v>49925</v>
          </cell>
        </row>
        <row r="443">
          <cell r="O443">
            <v>49960</v>
          </cell>
        </row>
        <row r="444">
          <cell r="O444">
            <v>49981</v>
          </cell>
        </row>
        <row r="445">
          <cell r="O445">
            <v>49994</v>
          </cell>
        </row>
        <row r="446">
          <cell r="O446">
            <v>49999</v>
          </cell>
        </row>
        <row r="447">
          <cell r="O447">
            <v>50034</v>
          </cell>
        </row>
        <row r="448">
          <cell r="O448">
            <v>50041</v>
          </cell>
        </row>
        <row r="449">
          <cell r="O449">
            <v>50087</v>
          </cell>
        </row>
        <row r="450">
          <cell r="O450">
            <v>50088</v>
          </cell>
        </row>
        <row r="451">
          <cell r="O451">
            <v>50133</v>
          </cell>
        </row>
        <row r="452">
          <cell r="O452">
            <v>50151</v>
          </cell>
        </row>
        <row r="453">
          <cell r="O453">
            <v>50161</v>
          </cell>
        </row>
        <row r="454">
          <cell r="O454">
            <v>50195</v>
          </cell>
        </row>
        <row r="455">
          <cell r="O455">
            <v>50290</v>
          </cell>
        </row>
        <row r="456">
          <cell r="O456">
            <v>50325</v>
          </cell>
        </row>
        <row r="457">
          <cell r="O457">
            <v>50346</v>
          </cell>
        </row>
        <row r="458">
          <cell r="O458">
            <v>50359</v>
          </cell>
        </row>
        <row r="459">
          <cell r="O459">
            <v>50364</v>
          </cell>
        </row>
        <row r="460">
          <cell r="O460">
            <v>50399</v>
          </cell>
        </row>
        <row r="461">
          <cell r="O461">
            <v>50406</v>
          </cell>
        </row>
        <row r="462">
          <cell r="O462">
            <v>50472</v>
          </cell>
        </row>
        <row r="463">
          <cell r="O463">
            <v>50473</v>
          </cell>
        </row>
        <row r="464">
          <cell r="O464">
            <v>50516</v>
          </cell>
        </row>
        <row r="465">
          <cell r="O465">
            <v>50518</v>
          </cell>
        </row>
        <row r="466">
          <cell r="O466">
            <v>50526</v>
          </cell>
        </row>
        <row r="467">
          <cell r="O467">
            <v>50580</v>
          </cell>
        </row>
        <row r="468">
          <cell r="O468">
            <v>50655</v>
          </cell>
        </row>
        <row r="469">
          <cell r="O469">
            <v>50690</v>
          </cell>
        </row>
        <row r="470">
          <cell r="O470">
            <v>50711</v>
          </cell>
        </row>
        <row r="471">
          <cell r="O471">
            <v>50724</v>
          </cell>
        </row>
        <row r="472">
          <cell r="O472">
            <v>50729</v>
          </cell>
        </row>
        <row r="473">
          <cell r="O473">
            <v>50764</v>
          </cell>
        </row>
        <row r="474">
          <cell r="O474">
            <v>50771</v>
          </cell>
        </row>
        <row r="475">
          <cell r="O475">
            <v>50822</v>
          </cell>
        </row>
        <row r="476">
          <cell r="O476">
            <v>50823</v>
          </cell>
        </row>
        <row r="477">
          <cell r="O477">
            <v>50868</v>
          </cell>
        </row>
        <row r="478">
          <cell r="O478">
            <v>50881</v>
          </cell>
        </row>
        <row r="479">
          <cell r="O479">
            <v>50891</v>
          </cell>
        </row>
        <row r="480">
          <cell r="O480">
            <v>50930</v>
          </cell>
        </row>
        <row r="481">
          <cell r="O481">
            <v>51020</v>
          </cell>
        </row>
        <row r="482">
          <cell r="O482">
            <v>51055</v>
          </cell>
        </row>
        <row r="483">
          <cell r="O483">
            <v>51076</v>
          </cell>
        </row>
        <row r="484">
          <cell r="O484">
            <v>51089</v>
          </cell>
        </row>
        <row r="485">
          <cell r="O485">
            <v>51094</v>
          </cell>
        </row>
        <row r="486">
          <cell r="O486">
            <v>51129</v>
          </cell>
        </row>
        <row r="487">
          <cell r="O487">
            <v>51136</v>
          </cell>
        </row>
        <row r="488">
          <cell r="O488">
            <v>51179</v>
          </cell>
        </row>
        <row r="489">
          <cell r="O489">
            <v>51180</v>
          </cell>
        </row>
        <row r="490">
          <cell r="O490">
            <v>51225</v>
          </cell>
        </row>
        <row r="491">
          <cell r="O491">
            <v>51247</v>
          </cell>
        </row>
        <row r="492">
          <cell r="O492">
            <v>51257</v>
          </cell>
        </row>
        <row r="493">
          <cell r="O493">
            <v>51287</v>
          </cell>
        </row>
        <row r="494">
          <cell r="O494">
            <v>51386</v>
          </cell>
        </row>
        <row r="495">
          <cell r="O495">
            <v>51421</v>
          </cell>
        </row>
        <row r="496">
          <cell r="O496">
            <v>51442</v>
          </cell>
        </row>
        <row r="497">
          <cell r="O497">
            <v>51455</v>
          </cell>
        </row>
        <row r="498">
          <cell r="O498">
            <v>51460</v>
          </cell>
        </row>
        <row r="499">
          <cell r="O499">
            <v>51495</v>
          </cell>
        </row>
        <row r="500">
          <cell r="O500">
            <v>51502</v>
          </cell>
        </row>
        <row r="501">
          <cell r="O501">
            <v>51564</v>
          </cell>
        </row>
        <row r="502">
          <cell r="O502">
            <v>51565</v>
          </cell>
        </row>
        <row r="503">
          <cell r="O503">
            <v>51610</v>
          </cell>
        </row>
        <row r="504">
          <cell r="O504">
            <v>51612</v>
          </cell>
        </row>
        <row r="505">
          <cell r="O505">
            <v>51622</v>
          </cell>
        </row>
        <row r="506">
          <cell r="O506">
            <v>51672</v>
          </cell>
        </row>
        <row r="507">
          <cell r="O507">
            <v>51751</v>
          </cell>
        </row>
        <row r="508">
          <cell r="O508">
            <v>51786</v>
          </cell>
        </row>
        <row r="509">
          <cell r="O509">
            <v>51807</v>
          </cell>
        </row>
        <row r="510">
          <cell r="O510">
            <v>51820</v>
          </cell>
        </row>
        <row r="511">
          <cell r="O511">
            <v>51825</v>
          </cell>
        </row>
        <row r="512">
          <cell r="O512">
            <v>51860</v>
          </cell>
        </row>
        <row r="513">
          <cell r="O513">
            <v>51867</v>
          </cell>
        </row>
        <row r="514">
          <cell r="O514">
            <v>51914</v>
          </cell>
        </row>
        <row r="515">
          <cell r="O515">
            <v>51915</v>
          </cell>
        </row>
        <row r="516">
          <cell r="O516">
            <v>51960</v>
          </cell>
        </row>
        <row r="517">
          <cell r="O517">
            <v>51977</v>
          </cell>
        </row>
        <row r="518">
          <cell r="O518">
            <v>51987</v>
          </cell>
        </row>
        <row r="519">
          <cell r="O519">
            <v>52022</v>
          </cell>
        </row>
        <row r="520">
          <cell r="O520">
            <v>52116</v>
          </cell>
        </row>
        <row r="521">
          <cell r="O521">
            <v>52151</v>
          </cell>
        </row>
        <row r="522">
          <cell r="O522">
            <v>52172</v>
          </cell>
        </row>
        <row r="523">
          <cell r="O523">
            <v>52185</v>
          </cell>
        </row>
        <row r="524">
          <cell r="O524">
            <v>52190</v>
          </cell>
        </row>
        <row r="525">
          <cell r="O525">
            <v>52225</v>
          </cell>
        </row>
        <row r="526">
          <cell r="O526">
            <v>52232</v>
          </cell>
        </row>
        <row r="527">
          <cell r="O527">
            <v>52271</v>
          </cell>
        </row>
        <row r="528">
          <cell r="O528">
            <v>52272</v>
          </cell>
        </row>
        <row r="529">
          <cell r="O529">
            <v>52317</v>
          </cell>
        </row>
        <row r="530">
          <cell r="O530">
            <v>52342</v>
          </cell>
        </row>
        <row r="531">
          <cell r="O531">
            <v>52352</v>
          </cell>
        </row>
        <row r="532">
          <cell r="O532">
            <v>52379</v>
          </cell>
        </row>
        <row r="533">
          <cell r="O533">
            <v>52481</v>
          </cell>
        </row>
        <row r="534">
          <cell r="O534">
            <v>52516</v>
          </cell>
        </row>
        <row r="535">
          <cell r="O535">
            <v>52537</v>
          </cell>
        </row>
        <row r="536">
          <cell r="O536">
            <v>52550</v>
          </cell>
        </row>
        <row r="537">
          <cell r="O537">
            <v>52555</v>
          </cell>
        </row>
        <row r="538">
          <cell r="O538">
            <v>52590</v>
          </cell>
        </row>
        <row r="539">
          <cell r="O539">
            <v>52597</v>
          </cell>
        </row>
        <row r="540">
          <cell r="O540">
            <v>52656</v>
          </cell>
        </row>
        <row r="541">
          <cell r="O541">
            <v>52657</v>
          </cell>
        </row>
        <row r="542">
          <cell r="O542">
            <v>52702</v>
          </cell>
        </row>
        <row r="543">
          <cell r="O543">
            <v>52708</v>
          </cell>
        </row>
        <row r="544">
          <cell r="O544">
            <v>52718</v>
          </cell>
        </row>
        <row r="545">
          <cell r="O545">
            <v>52764</v>
          </cell>
        </row>
        <row r="546">
          <cell r="O546">
            <v>52847</v>
          </cell>
        </row>
        <row r="547">
          <cell r="O547">
            <v>52882</v>
          </cell>
        </row>
        <row r="548">
          <cell r="O548">
            <v>52903</v>
          </cell>
        </row>
        <row r="549">
          <cell r="O549">
            <v>52916</v>
          </cell>
        </row>
        <row r="550">
          <cell r="O550">
            <v>52921</v>
          </cell>
        </row>
        <row r="551">
          <cell r="O551">
            <v>52956</v>
          </cell>
        </row>
        <row r="552">
          <cell r="O552">
            <v>52963</v>
          </cell>
        </row>
        <row r="553">
          <cell r="O553">
            <v>53013</v>
          </cell>
        </row>
        <row r="554">
          <cell r="O554">
            <v>53014</v>
          </cell>
        </row>
        <row r="555">
          <cell r="O555">
            <v>53059</v>
          </cell>
        </row>
        <row r="556">
          <cell r="O556">
            <v>53073</v>
          </cell>
        </row>
        <row r="557">
          <cell r="O557">
            <v>53083</v>
          </cell>
        </row>
        <row r="558">
          <cell r="O558">
            <v>53121</v>
          </cell>
        </row>
        <row r="559">
          <cell r="O559">
            <v>53212</v>
          </cell>
        </row>
        <row r="560">
          <cell r="O560">
            <v>53247</v>
          </cell>
        </row>
        <row r="561">
          <cell r="O561">
            <v>53268</v>
          </cell>
        </row>
        <row r="562">
          <cell r="O562">
            <v>53281</v>
          </cell>
        </row>
        <row r="563">
          <cell r="O563">
            <v>53286</v>
          </cell>
        </row>
        <row r="564">
          <cell r="O564">
            <v>53321</v>
          </cell>
        </row>
        <row r="565">
          <cell r="O565">
            <v>53328</v>
          </cell>
        </row>
        <row r="566">
          <cell r="O566">
            <v>53363</v>
          </cell>
        </row>
        <row r="567">
          <cell r="O567">
            <v>53364</v>
          </cell>
        </row>
        <row r="568">
          <cell r="O568">
            <v>53409</v>
          </cell>
        </row>
        <row r="569">
          <cell r="O569">
            <v>53438</v>
          </cell>
        </row>
        <row r="570">
          <cell r="O570">
            <v>53448</v>
          </cell>
        </row>
        <row r="571">
          <cell r="O571">
            <v>53471</v>
          </cell>
        </row>
        <row r="572">
          <cell r="O572">
            <v>53577</v>
          </cell>
        </row>
        <row r="573">
          <cell r="O573">
            <v>53612</v>
          </cell>
        </row>
        <row r="574">
          <cell r="O574">
            <v>53633</v>
          </cell>
        </row>
        <row r="575">
          <cell r="O575">
            <v>53646</v>
          </cell>
        </row>
        <row r="576">
          <cell r="O576">
            <v>53651</v>
          </cell>
        </row>
        <row r="577">
          <cell r="O577">
            <v>53686</v>
          </cell>
        </row>
        <row r="578">
          <cell r="O578">
            <v>53693</v>
          </cell>
        </row>
        <row r="579">
          <cell r="O579">
            <v>53748</v>
          </cell>
        </row>
        <row r="580">
          <cell r="O580">
            <v>53749</v>
          </cell>
        </row>
        <row r="581">
          <cell r="O581">
            <v>53794</v>
          </cell>
        </row>
        <row r="582">
          <cell r="O582">
            <v>53803</v>
          </cell>
        </row>
        <row r="583">
          <cell r="O583">
            <v>53813</v>
          </cell>
        </row>
        <row r="584">
          <cell r="O584">
            <v>53856</v>
          </cell>
        </row>
        <row r="585">
          <cell r="O585">
            <v>53942</v>
          </cell>
        </row>
        <row r="586">
          <cell r="O586">
            <v>53977</v>
          </cell>
        </row>
        <row r="587">
          <cell r="O587">
            <v>53998</v>
          </cell>
        </row>
        <row r="588">
          <cell r="O588">
            <v>54011</v>
          </cell>
        </row>
        <row r="589">
          <cell r="O589">
            <v>54016</v>
          </cell>
        </row>
        <row r="590">
          <cell r="O590">
            <v>54051</v>
          </cell>
        </row>
        <row r="591">
          <cell r="O591">
            <v>54058</v>
          </cell>
        </row>
        <row r="592">
          <cell r="O592">
            <v>54105</v>
          </cell>
        </row>
        <row r="593">
          <cell r="O593">
            <v>54106</v>
          </cell>
        </row>
        <row r="594">
          <cell r="O594">
            <v>54151</v>
          </cell>
        </row>
        <row r="595">
          <cell r="O595">
            <v>54169</v>
          </cell>
        </row>
        <row r="596">
          <cell r="O596">
            <v>54179</v>
          </cell>
        </row>
        <row r="597">
          <cell r="O597">
            <v>54213</v>
          </cell>
        </row>
        <row r="598">
          <cell r="O598">
            <v>54308</v>
          </cell>
        </row>
        <row r="599">
          <cell r="O599">
            <v>54343</v>
          </cell>
        </row>
        <row r="600">
          <cell r="O600">
            <v>54364</v>
          </cell>
        </row>
        <row r="601">
          <cell r="O601">
            <v>54377</v>
          </cell>
        </row>
        <row r="602">
          <cell r="O602">
            <v>54382</v>
          </cell>
        </row>
        <row r="603">
          <cell r="O603">
            <v>54417</v>
          </cell>
        </row>
        <row r="604">
          <cell r="O604">
            <v>54424</v>
          </cell>
        </row>
        <row r="605">
          <cell r="O605">
            <v>54483</v>
          </cell>
        </row>
        <row r="606">
          <cell r="O606">
            <v>54484</v>
          </cell>
        </row>
        <row r="607">
          <cell r="O607">
            <v>54529</v>
          </cell>
        </row>
        <row r="608">
          <cell r="O608">
            <v>54534</v>
          </cell>
        </row>
        <row r="609">
          <cell r="O609">
            <v>54544</v>
          </cell>
        </row>
        <row r="610">
          <cell r="O610">
            <v>54591</v>
          </cell>
        </row>
        <row r="611">
          <cell r="O611">
            <v>54673</v>
          </cell>
        </row>
        <row r="612">
          <cell r="O612">
            <v>54708</v>
          </cell>
        </row>
        <row r="613">
          <cell r="O613">
            <v>54729</v>
          </cell>
        </row>
        <row r="614">
          <cell r="O614">
            <v>54742</v>
          </cell>
        </row>
        <row r="615">
          <cell r="O615">
            <v>54747</v>
          </cell>
        </row>
        <row r="616">
          <cell r="O616">
            <v>54782</v>
          </cell>
        </row>
        <row r="617">
          <cell r="O617">
            <v>54789</v>
          </cell>
        </row>
        <row r="618">
          <cell r="O618">
            <v>54840</v>
          </cell>
        </row>
        <row r="619">
          <cell r="O619">
            <v>54841</v>
          </cell>
        </row>
        <row r="620">
          <cell r="O620">
            <v>54886</v>
          </cell>
        </row>
        <row r="621">
          <cell r="O621">
            <v>54899</v>
          </cell>
        </row>
        <row r="622">
          <cell r="O622">
            <v>54909</v>
          </cell>
        </row>
        <row r="623">
          <cell r="O623">
            <v>54948</v>
          </cell>
        </row>
        <row r="624">
          <cell r="O624">
            <v>55038</v>
          </cell>
        </row>
        <row r="625">
          <cell r="O625">
            <v>55073</v>
          </cell>
        </row>
        <row r="626">
          <cell r="O626">
            <v>55094</v>
          </cell>
        </row>
        <row r="627">
          <cell r="O627">
            <v>55107</v>
          </cell>
        </row>
        <row r="628">
          <cell r="O628">
            <v>55112</v>
          </cell>
        </row>
        <row r="629">
          <cell r="O629">
            <v>55147</v>
          </cell>
        </row>
        <row r="630">
          <cell r="O630">
            <v>55154</v>
          </cell>
        </row>
        <row r="631">
          <cell r="O631">
            <v>55197</v>
          </cell>
        </row>
        <row r="632">
          <cell r="O632">
            <v>55198</v>
          </cell>
        </row>
        <row r="633">
          <cell r="O633">
            <v>55243</v>
          </cell>
        </row>
        <row r="634">
          <cell r="O634">
            <v>55264</v>
          </cell>
        </row>
        <row r="635">
          <cell r="O635">
            <v>55274</v>
          </cell>
        </row>
        <row r="636">
          <cell r="O636">
            <v>55305</v>
          </cell>
        </row>
        <row r="637">
          <cell r="O637">
            <v>55403</v>
          </cell>
        </row>
        <row r="638">
          <cell r="O638">
            <v>55438</v>
          </cell>
        </row>
        <row r="639">
          <cell r="O639">
            <v>55459</v>
          </cell>
        </row>
        <row r="640">
          <cell r="O640">
            <v>55472</v>
          </cell>
        </row>
        <row r="641">
          <cell r="O641">
            <v>55477</v>
          </cell>
        </row>
        <row r="642">
          <cell r="O642">
            <v>55512</v>
          </cell>
        </row>
        <row r="643">
          <cell r="O643">
            <v>55519</v>
          </cell>
        </row>
        <row r="644">
          <cell r="O644">
            <v>55582</v>
          </cell>
        </row>
        <row r="645">
          <cell r="O645">
            <v>55583</v>
          </cell>
        </row>
        <row r="646">
          <cell r="O646">
            <v>55628</v>
          </cell>
        </row>
        <row r="647">
          <cell r="O647">
            <v>55630</v>
          </cell>
        </row>
        <row r="648">
          <cell r="O648">
            <v>55640</v>
          </cell>
        </row>
        <row r="649">
          <cell r="O649">
            <v>55690</v>
          </cell>
        </row>
        <row r="650">
          <cell r="O650">
            <v>55769</v>
          </cell>
        </row>
        <row r="651">
          <cell r="O651">
            <v>55804</v>
          </cell>
        </row>
        <row r="652">
          <cell r="O652">
            <v>55825</v>
          </cell>
        </row>
        <row r="653">
          <cell r="O653">
            <v>55838</v>
          </cell>
        </row>
        <row r="654">
          <cell r="O654">
            <v>55843</v>
          </cell>
        </row>
        <row r="655">
          <cell r="O655">
            <v>55878</v>
          </cell>
        </row>
        <row r="656">
          <cell r="O656">
            <v>55885</v>
          </cell>
        </row>
        <row r="657">
          <cell r="O657">
            <v>55932</v>
          </cell>
        </row>
        <row r="658">
          <cell r="O658">
            <v>55933</v>
          </cell>
        </row>
        <row r="659">
          <cell r="O659">
            <v>55978</v>
          </cell>
        </row>
        <row r="660">
          <cell r="O660">
            <v>55995</v>
          </cell>
        </row>
        <row r="661">
          <cell r="O661">
            <v>56005</v>
          </cell>
        </row>
        <row r="662">
          <cell r="O662">
            <v>56040</v>
          </cell>
        </row>
        <row r="663">
          <cell r="O663">
            <v>56134</v>
          </cell>
        </row>
        <row r="664">
          <cell r="O664">
            <v>56169</v>
          </cell>
        </row>
        <row r="665">
          <cell r="O665">
            <v>56190</v>
          </cell>
        </row>
        <row r="666">
          <cell r="O666">
            <v>56203</v>
          </cell>
        </row>
        <row r="667">
          <cell r="O667">
            <v>56208</v>
          </cell>
        </row>
        <row r="668">
          <cell r="O668">
            <v>56243</v>
          </cell>
        </row>
        <row r="669">
          <cell r="O669">
            <v>56250</v>
          </cell>
        </row>
        <row r="670">
          <cell r="O670">
            <v>56289</v>
          </cell>
        </row>
        <row r="671">
          <cell r="O671">
            <v>56290</v>
          </cell>
        </row>
        <row r="672">
          <cell r="O672">
            <v>56335</v>
          </cell>
        </row>
        <row r="673">
          <cell r="O673">
            <v>56360</v>
          </cell>
        </row>
        <row r="674">
          <cell r="O674">
            <v>56370</v>
          </cell>
        </row>
        <row r="675">
          <cell r="O675">
            <v>56397</v>
          </cell>
        </row>
        <row r="676">
          <cell r="O676">
            <v>56499</v>
          </cell>
        </row>
        <row r="677">
          <cell r="O677">
            <v>56534</v>
          </cell>
        </row>
        <row r="678">
          <cell r="O678">
            <v>56555</v>
          </cell>
        </row>
        <row r="679">
          <cell r="O679">
            <v>56568</v>
          </cell>
        </row>
        <row r="680">
          <cell r="O680">
            <v>56573</v>
          </cell>
        </row>
        <row r="681">
          <cell r="O681">
            <v>56608</v>
          </cell>
        </row>
        <row r="682">
          <cell r="O682">
            <v>56615</v>
          </cell>
        </row>
        <row r="683">
          <cell r="O683">
            <v>56674</v>
          </cell>
        </row>
        <row r="684">
          <cell r="O684">
            <v>56675</v>
          </cell>
        </row>
        <row r="685">
          <cell r="O685">
            <v>56720</v>
          </cell>
        </row>
        <row r="686">
          <cell r="O686">
            <v>56725</v>
          </cell>
        </row>
        <row r="687">
          <cell r="O687">
            <v>56735</v>
          </cell>
        </row>
        <row r="688">
          <cell r="O688">
            <v>56782</v>
          </cell>
        </row>
        <row r="689">
          <cell r="O689">
            <v>56864</v>
          </cell>
        </row>
        <row r="690">
          <cell r="O690">
            <v>56899</v>
          </cell>
        </row>
        <row r="691">
          <cell r="O691">
            <v>56920</v>
          </cell>
        </row>
        <row r="692">
          <cell r="O692">
            <v>56933</v>
          </cell>
        </row>
        <row r="693">
          <cell r="O693">
            <v>56938</v>
          </cell>
        </row>
        <row r="694">
          <cell r="O694">
            <v>56973</v>
          </cell>
        </row>
        <row r="695">
          <cell r="O695">
            <v>56980</v>
          </cell>
        </row>
        <row r="696">
          <cell r="O696">
            <v>57024</v>
          </cell>
        </row>
        <row r="697">
          <cell r="O697">
            <v>57025</v>
          </cell>
        </row>
        <row r="698">
          <cell r="O698">
            <v>57070</v>
          </cell>
        </row>
        <row r="699">
          <cell r="O699">
            <v>57091</v>
          </cell>
        </row>
        <row r="700">
          <cell r="O700">
            <v>57101</v>
          </cell>
        </row>
        <row r="701">
          <cell r="O701">
            <v>57132</v>
          </cell>
        </row>
        <row r="702">
          <cell r="O702">
            <v>57230</v>
          </cell>
        </row>
        <row r="703">
          <cell r="O703">
            <v>57265</v>
          </cell>
        </row>
        <row r="704">
          <cell r="O704">
            <v>57286</v>
          </cell>
        </row>
        <row r="705">
          <cell r="O705">
            <v>57299</v>
          </cell>
        </row>
        <row r="706">
          <cell r="O706">
            <v>57304</v>
          </cell>
        </row>
        <row r="707">
          <cell r="O707">
            <v>57339</v>
          </cell>
        </row>
        <row r="708">
          <cell r="O708">
            <v>57346</v>
          </cell>
        </row>
        <row r="709">
          <cell r="O709">
            <v>57409</v>
          </cell>
        </row>
        <row r="710">
          <cell r="O710">
            <v>57410</v>
          </cell>
        </row>
        <row r="711">
          <cell r="O711">
            <v>57455</v>
          </cell>
        </row>
        <row r="712">
          <cell r="O712">
            <v>57456</v>
          </cell>
        </row>
        <row r="713">
          <cell r="O713">
            <v>57466</v>
          </cell>
        </row>
        <row r="714">
          <cell r="O714">
            <v>57517</v>
          </cell>
        </row>
        <row r="715">
          <cell r="O715">
            <v>57595</v>
          </cell>
        </row>
        <row r="716">
          <cell r="O716">
            <v>57630</v>
          </cell>
        </row>
        <row r="717">
          <cell r="O717">
            <v>57651</v>
          </cell>
        </row>
        <row r="718">
          <cell r="O718">
            <v>57664</v>
          </cell>
        </row>
        <row r="719">
          <cell r="O719">
            <v>57669</v>
          </cell>
        </row>
        <row r="720">
          <cell r="O720">
            <v>57704</v>
          </cell>
        </row>
        <row r="721">
          <cell r="O721">
            <v>57711</v>
          </cell>
        </row>
        <row r="722">
          <cell r="O722">
            <v>57766</v>
          </cell>
        </row>
        <row r="723">
          <cell r="O723">
            <v>57767</v>
          </cell>
        </row>
        <row r="724">
          <cell r="O724">
            <v>57812</v>
          </cell>
        </row>
        <row r="725">
          <cell r="O725">
            <v>57821</v>
          </cell>
        </row>
        <row r="726">
          <cell r="O726">
            <v>57831</v>
          </cell>
        </row>
        <row r="727">
          <cell r="O727">
            <v>57874</v>
          </cell>
        </row>
        <row r="728">
          <cell r="O728">
            <v>57960</v>
          </cell>
        </row>
        <row r="729">
          <cell r="O729">
            <v>57995</v>
          </cell>
        </row>
        <row r="730">
          <cell r="O730">
            <v>58016</v>
          </cell>
        </row>
        <row r="731">
          <cell r="O731">
            <v>58029</v>
          </cell>
        </row>
        <row r="732">
          <cell r="O732">
            <v>58034</v>
          </cell>
        </row>
        <row r="733">
          <cell r="O733">
            <v>58069</v>
          </cell>
        </row>
        <row r="734">
          <cell r="O734">
            <v>58076</v>
          </cell>
        </row>
        <row r="735">
          <cell r="O735">
            <v>58116</v>
          </cell>
        </row>
        <row r="736">
          <cell r="O736">
            <v>58117</v>
          </cell>
        </row>
        <row r="737">
          <cell r="O737">
            <v>58162</v>
          </cell>
        </row>
        <row r="738">
          <cell r="O738">
            <v>58186</v>
          </cell>
        </row>
        <row r="739">
          <cell r="O739">
            <v>58196</v>
          </cell>
        </row>
        <row r="740">
          <cell r="O740">
            <v>58224</v>
          </cell>
        </row>
        <row r="741">
          <cell r="O741">
            <v>58325</v>
          </cell>
        </row>
        <row r="742">
          <cell r="O742">
            <v>58360</v>
          </cell>
        </row>
        <row r="743">
          <cell r="O743">
            <v>58381</v>
          </cell>
        </row>
        <row r="744">
          <cell r="O744">
            <v>58394</v>
          </cell>
        </row>
        <row r="745">
          <cell r="O745">
            <v>58399</v>
          </cell>
        </row>
        <row r="746">
          <cell r="O746">
            <v>58434</v>
          </cell>
        </row>
        <row r="747">
          <cell r="O747">
            <v>58441</v>
          </cell>
        </row>
        <row r="748">
          <cell r="O748">
            <v>58501</v>
          </cell>
        </row>
        <row r="749">
          <cell r="O749">
            <v>58502</v>
          </cell>
        </row>
        <row r="750">
          <cell r="O750">
            <v>58547</v>
          </cell>
        </row>
        <row r="751">
          <cell r="O751">
            <v>58552</v>
          </cell>
        </row>
        <row r="752">
          <cell r="O752">
            <v>58562</v>
          </cell>
        </row>
        <row r="753">
          <cell r="O753">
            <v>58609</v>
          </cell>
        </row>
        <row r="754">
          <cell r="O754">
            <v>58691</v>
          </cell>
        </row>
        <row r="755">
          <cell r="O755">
            <v>58726</v>
          </cell>
        </row>
        <row r="756">
          <cell r="O756">
            <v>58747</v>
          </cell>
        </row>
        <row r="757">
          <cell r="O757">
            <v>58760</v>
          </cell>
        </row>
        <row r="758">
          <cell r="O758">
            <v>58765</v>
          </cell>
        </row>
        <row r="759">
          <cell r="O759">
            <v>58800</v>
          </cell>
        </row>
        <row r="760">
          <cell r="O760">
            <v>58807</v>
          </cell>
        </row>
        <row r="761">
          <cell r="O761">
            <v>58858</v>
          </cell>
        </row>
        <row r="762">
          <cell r="O762">
            <v>58859</v>
          </cell>
        </row>
        <row r="763">
          <cell r="O763">
            <v>58904</v>
          </cell>
        </row>
        <row r="764">
          <cell r="O764">
            <v>58917</v>
          </cell>
        </row>
        <row r="765">
          <cell r="O765">
            <v>58927</v>
          </cell>
        </row>
        <row r="766">
          <cell r="O766">
            <v>58966</v>
          </cell>
        </row>
        <row r="767">
          <cell r="O767">
            <v>59056</v>
          </cell>
        </row>
        <row r="768">
          <cell r="O768">
            <v>59091</v>
          </cell>
        </row>
        <row r="769">
          <cell r="O769">
            <v>59112</v>
          </cell>
        </row>
        <row r="770">
          <cell r="O770">
            <v>59125</v>
          </cell>
        </row>
        <row r="771">
          <cell r="O771">
            <v>59130</v>
          </cell>
        </row>
        <row r="772">
          <cell r="O772">
            <v>59165</v>
          </cell>
        </row>
        <row r="773">
          <cell r="O773">
            <v>59172</v>
          </cell>
        </row>
        <row r="774">
          <cell r="O774">
            <v>59208</v>
          </cell>
        </row>
        <row r="775">
          <cell r="O775">
            <v>59209</v>
          </cell>
        </row>
        <row r="776">
          <cell r="O776">
            <v>59254</v>
          </cell>
        </row>
        <row r="777">
          <cell r="O777">
            <v>59282</v>
          </cell>
        </row>
        <row r="778">
          <cell r="O778">
            <v>59292</v>
          </cell>
        </row>
        <row r="779">
          <cell r="O779">
            <v>59316</v>
          </cell>
        </row>
        <row r="780">
          <cell r="O780">
            <v>59421</v>
          </cell>
        </row>
        <row r="781">
          <cell r="O781">
            <v>59456</v>
          </cell>
        </row>
        <row r="782">
          <cell r="O782">
            <v>59477</v>
          </cell>
        </row>
        <row r="783">
          <cell r="O783">
            <v>59490</v>
          </cell>
        </row>
        <row r="784">
          <cell r="O784">
            <v>59495</v>
          </cell>
        </row>
        <row r="785">
          <cell r="O785">
            <v>59530</v>
          </cell>
        </row>
        <row r="786">
          <cell r="O786">
            <v>59537</v>
          </cell>
        </row>
        <row r="787">
          <cell r="O787">
            <v>59593</v>
          </cell>
        </row>
        <row r="788">
          <cell r="O788">
            <v>59594</v>
          </cell>
        </row>
        <row r="789">
          <cell r="O789">
            <v>59639</v>
          </cell>
        </row>
        <row r="790">
          <cell r="O790">
            <v>59647</v>
          </cell>
        </row>
        <row r="791">
          <cell r="O791">
            <v>59657</v>
          </cell>
        </row>
        <row r="792">
          <cell r="O792">
            <v>59701</v>
          </cell>
        </row>
        <row r="793">
          <cell r="O793">
            <v>59786</v>
          </cell>
        </row>
        <row r="794">
          <cell r="O794">
            <v>59821</v>
          </cell>
        </row>
        <row r="795">
          <cell r="O795">
            <v>59842</v>
          </cell>
        </row>
        <row r="796">
          <cell r="O796">
            <v>59855</v>
          </cell>
        </row>
        <row r="797">
          <cell r="O797">
            <v>59860</v>
          </cell>
        </row>
        <row r="798">
          <cell r="O798">
            <v>59895</v>
          </cell>
        </row>
        <row r="799">
          <cell r="O799">
            <v>59902</v>
          </cell>
        </row>
        <row r="800">
          <cell r="O800">
            <v>59950</v>
          </cell>
        </row>
        <row r="801">
          <cell r="O801">
            <v>59951</v>
          </cell>
        </row>
        <row r="802">
          <cell r="O802">
            <v>59996</v>
          </cell>
        </row>
        <row r="803">
          <cell r="O803">
            <v>60013</v>
          </cell>
        </row>
        <row r="804">
          <cell r="O804">
            <v>60023</v>
          </cell>
        </row>
        <row r="805">
          <cell r="O805">
            <v>60058</v>
          </cell>
        </row>
        <row r="806">
          <cell r="O806">
            <v>60152</v>
          </cell>
        </row>
        <row r="807">
          <cell r="O807">
            <v>60187</v>
          </cell>
        </row>
        <row r="808">
          <cell r="O808">
            <v>60208</v>
          </cell>
        </row>
        <row r="809">
          <cell r="O809">
            <v>60221</v>
          </cell>
        </row>
        <row r="810">
          <cell r="O810">
            <v>60226</v>
          </cell>
        </row>
        <row r="811">
          <cell r="O811">
            <v>60261</v>
          </cell>
        </row>
        <row r="812">
          <cell r="O812">
            <v>60268</v>
          </cell>
        </row>
        <row r="813">
          <cell r="O813">
            <v>60307</v>
          </cell>
        </row>
        <row r="814">
          <cell r="O814">
            <v>60308</v>
          </cell>
        </row>
        <row r="815">
          <cell r="O815">
            <v>60353</v>
          </cell>
        </row>
        <row r="816">
          <cell r="O816">
            <v>60378</v>
          </cell>
        </row>
        <row r="817">
          <cell r="O817">
            <v>60388</v>
          </cell>
        </row>
        <row r="818">
          <cell r="O818">
            <v>60415</v>
          </cell>
        </row>
        <row r="819">
          <cell r="O819">
            <v>60517</v>
          </cell>
        </row>
        <row r="820">
          <cell r="O820">
            <v>60552</v>
          </cell>
        </row>
        <row r="821">
          <cell r="O821">
            <v>60573</v>
          </cell>
        </row>
        <row r="822">
          <cell r="O822">
            <v>60586</v>
          </cell>
        </row>
        <row r="823">
          <cell r="O823">
            <v>60591</v>
          </cell>
        </row>
        <row r="824">
          <cell r="O824">
            <v>60626</v>
          </cell>
        </row>
        <row r="825">
          <cell r="O825">
            <v>60633</v>
          </cell>
        </row>
        <row r="826">
          <cell r="O826">
            <v>60685</v>
          </cell>
        </row>
        <row r="827">
          <cell r="O827">
            <v>60686</v>
          </cell>
        </row>
        <row r="828">
          <cell r="O828">
            <v>60731</v>
          </cell>
        </row>
        <row r="829">
          <cell r="O829">
            <v>60743</v>
          </cell>
        </row>
        <row r="830">
          <cell r="O830">
            <v>60753</v>
          </cell>
        </row>
        <row r="831">
          <cell r="O831">
            <v>60793</v>
          </cell>
        </row>
        <row r="832">
          <cell r="O832">
            <v>60882</v>
          </cell>
        </row>
        <row r="833">
          <cell r="O833">
            <v>60917</v>
          </cell>
        </row>
        <row r="834">
          <cell r="O834">
            <v>60938</v>
          </cell>
        </row>
        <row r="835">
          <cell r="O835">
            <v>60951</v>
          </cell>
        </row>
        <row r="836">
          <cell r="O836">
            <v>60956</v>
          </cell>
        </row>
        <row r="837">
          <cell r="O837">
            <v>60991</v>
          </cell>
        </row>
        <row r="838">
          <cell r="O838">
            <v>60998</v>
          </cell>
        </row>
        <row r="839">
          <cell r="O839">
            <v>61042</v>
          </cell>
        </row>
        <row r="840">
          <cell r="O840">
            <v>61043</v>
          </cell>
        </row>
        <row r="841">
          <cell r="O841">
            <v>61088</v>
          </cell>
        </row>
        <row r="842">
          <cell r="O842">
            <v>61108</v>
          </cell>
        </row>
        <row r="843">
          <cell r="O843">
            <v>61118</v>
          </cell>
        </row>
        <row r="844">
          <cell r="O844">
            <v>61150</v>
          </cell>
        </row>
        <row r="845">
          <cell r="O845">
            <v>61247</v>
          </cell>
        </row>
        <row r="846">
          <cell r="O846">
            <v>61282</v>
          </cell>
        </row>
        <row r="847">
          <cell r="O847">
            <v>61303</v>
          </cell>
        </row>
        <row r="848">
          <cell r="O848">
            <v>61316</v>
          </cell>
        </row>
        <row r="849">
          <cell r="O849">
            <v>61321</v>
          </cell>
        </row>
        <row r="850">
          <cell r="O850">
            <v>61356</v>
          </cell>
        </row>
        <row r="851">
          <cell r="O851">
            <v>61363</v>
          </cell>
        </row>
        <row r="852">
          <cell r="O852">
            <v>61427</v>
          </cell>
        </row>
        <row r="853">
          <cell r="O853">
            <v>61428</v>
          </cell>
        </row>
        <row r="854">
          <cell r="O854">
            <v>61473</v>
          </cell>
        </row>
        <row r="855">
          <cell r="O855">
            <v>61474</v>
          </cell>
        </row>
        <row r="856">
          <cell r="O856">
            <v>61484</v>
          </cell>
        </row>
        <row r="857">
          <cell r="O857">
            <v>61535</v>
          </cell>
        </row>
        <row r="858">
          <cell r="O858">
            <v>61613</v>
          </cell>
        </row>
        <row r="859">
          <cell r="O859">
            <v>61648</v>
          </cell>
        </row>
        <row r="860">
          <cell r="O860">
            <v>61669</v>
          </cell>
        </row>
        <row r="861">
          <cell r="O861">
            <v>61682</v>
          </cell>
        </row>
        <row r="862">
          <cell r="O862">
            <v>61687</v>
          </cell>
        </row>
        <row r="863">
          <cell r="O863">
            <v>61722</v>
          </cell>
        </row>
        <row r="864">
          <cell r="O864">
            <v>61729</v>
          </cell>
        </row>
        <row r="865">
          <cell r="O865">
            <v>61784</v>
          </cell>
        </row>
        <row r="866">
          <cell r="O866">
            <v>61785</v>
          </cell>
        </row>
        <row r="867">
          <cell r="O867">
            <v>61830</v>
          </cell>
        </row>
        <row r="868">
          <cell r="O868">
            <v>61839</v>
          </cell>
        </row>
        <row r="869">
          <cell r="O869">
            <v>61849</v>
          </cell>
        </row>
        <row r="870">
          <cell r="O870">
            <v>61892</v>
          </cell>
        </row>
        <row r="871">
          <cell r="O871">
            <v>61978</v>
          </cell>
        </row>
        <row r="872">
          <cell r="O872">
            <v>62013</v>
          </cell>
        </row>
        <row r="873">
          <cell r="O873">
            <v>62034</v>
          </cell>
        </row>
        <row r="874">
          <cell r="O874">
            <v>62047</v>
          </cell>
        </row>
        <row r="875">
          <cell r="O875">
            <v>62052</v>
          </cell>
        </row>
        <row r="876">
          <cell r="O876">
            <v>62087</v>
          </cell>
        </row>
        <row r="877">
          <cell r="O877">
            <v>62094</v>
          </cell>
        </row>
        <row r="878">
          <cell r="O878">
            <v>62134</v>
          </cell>
        </row>
        <row r="879">
          <cell r="O879">
            <v>62135</v>
          </cell>
        </row>
        <row r="880">
          <cell r="O880">
            <v>62180</v>
          </cell>
        </row>
        <row r="881">
          <cell r="O881">
            <v>62204</v>
          </cell>
        </row>
        <row r="882">
          <cell r="O882">
            <v>62214</v>
          </cell>
        </row>
        <row r="883">
          <cell r="O883">
            <v>62242</v>
          </cell>
        </row>
        <row r="884">
          <cell r="O884">
            <v>62343</v>
          </cell>
        </row>
        <row r="885">
          <cell r="O885">
            <v>62378</v>
          </cell>
        </row>
        <row r="886">
          <cell r="O886">
            <v>62399</v>
          </cell>
        </row>
        <row r="887">
          <cell r="O887">
            <v>62412</v>
          </cell>
        </row>
        <row r="888">
          <cell r="O888">
            <v>62417</v>
          </cell>
        </row>
        <row r="889">
          <cell r="O889">
            <v>62452</v>
          </cell>
        </row>
        <row r="890">
          <cell r="O890">
            <v>62459</v>
          </cell>
        </row>
        <row r="891">
          <cell r="O891">
            <v>62519</v>
          </cell>
        </row>
        <row r="892">
          <cell r="O892">
            <v>62520</v>
          </cell>
        </row>
        <row r="893">
          <cell r="O893">
            <v>62565</v>
          </cell>
        </row>
        <row r="894">
          <cell r="O894">
            <v>62569</v>
          </cell>
        </row>
        <row r="895">
          <cell r="O895">
            <v>62579</v>
          </cell>
        </row>
        <row r="896">
          <cell r="O896">
            <v>62627</v>
          </cell>
        </row>
        <row r="897">
          <cell r="O897">
            <v>62708</v>
          </cell>
        </row>
        <row r="898">
          <cell r="O898">
            <v>62743</v>
          </cell>
        </row>
        <row r="899">
          <cell r="O899">
            <v>62764</v>
          </cell>
        </row>
        <row r="900">
          <cell r="O900">
            <v>62777</v>
          </cell>
        </row>
        <row r="901">
          <cell r="O901">
            <v>62782</v>
          </cell>
        </row>
        <row r="902">
          <cell r="O902">
            <v>62817</v>
          </cell>
        </row>
        <row r="903">
          <cell r="O903">
            <v>62824</v>
          </cell>
        </row>
        <row r="904">
          <cell r="O904">
            <v>62876</v>
          </cell>
        </row>
        <row r="905">
          <cell r="O905">
            <v>62877</v>
          </cell>
        </row>
        <row r="906">
          <cell r="O906">
            <v>62922</v>
          </cell>
        </row>
        <row r="907">
          <cell r="O907">
            <v>62935</v>
          </cell>
        </row>
        <row r="908">
          <cell r="O908">
            <v>62945</v>
          </cell>
        </row>
        <row r="909">
          <cell r="O909">
            <v>62984</v>
          </cell>
        </row>
        <row r="910">
          <cell r="O910">
            <v>63074</v>
          </cell>
        </row>
        <row r="911">
          <cell r="O911">
            <v>63109</v>
          </cell>
        </row>
        <row r="912">
          <cell r="O912">
            <v>63130</v>
          </cell>
        </row>
        <row r="913">
          <cell r="O913">
            <v>63143</v>
          </cell>
        </row>
        <row r="914">
          <cell r="O914">
            <v>63148</v>
          </cell>
        </row>
        <row r="915">
          <cell r="O915">
            <v>63183</v>
          </cell>
        </row>
        <row r="916">
          <cell r="O916">
            <v>63190</v>
          </cell>
        </row>
        <row r="917">
          <cell r="O917">
            <v>63226</v>
          </cell>
        </row>
        <row r="918">
          <cell r="O918">
            <v>63227</v>
          </cell>
        </row>
        <row r="919">
          <cell r="O919">
            <v>63272</v>
          </cell>
        </row>
        <row r="920">
          <cell r="O920">
            <v>63300</v>
          </cell>
        </row>
        <row r="921">
          <cell r="O921">
            <v>63310</v>
          </cell>
        </row>
        <row r="922">
          <cell r="O922">
            <v>63334</v>
          </cell>
        </row>
        <row r="923">
          <cell r="O923">
            <v>63439</v>
          </cell>
        </row>
        <row r="924">
          <cell r="O924">
            <v>63474</v>
          </cell>
        </row>
        <row r="925">
          <cell r="O925">
            <v>63495</v>
          </cell>
        </row>
        <row r="926">
          <cell r="O926">
            <v>63508</v>
          </cell>
        </row>
        <row r="927">
          <cell r="O927">
            <v>63513</v>
          </cell>
        </row>
        <row r="928">
          <cell r="O928">
            <v>63548</v>
          </cell>
        </row>
        <row r="929">
          <cell r="O929">
            <v>63555</v>
          </cell>
        </row>
        <row r="930">
          <cell r="O930">
            <v>63611</v>
          </cell>
        </row>
        <row r="931">
          <cell r="O931">
            <v>63612</v>
          </cell>
        </row>
        <row r="932">
          <cell r="O932">
            <v>63657</v>
          </cell>
        </row>
        <row r="933">
          <cell r="O933">
            <v>63665</v>
          </cell>
        </row>
        <row r="934">
          <cell r="O934">
            <v>63675</v>
          </cell>
        </row>
        <row r="935">
          <cell r="O935">
            <v>63719</v>
          </cell>
        </row>
        <row r="936">
          <cell r="O936">
            <v>63804</v>
          </cell>
        </row>
        <row r="937">
          <cell r="O937">
            <v>63839</v>
          </cell>
        </row>
        <row r="938">
          <cell r="O938">
            <v>63860</v>
          </cell>
        </row>
        <row r="939">
          <cell r="O939">
            <v>63873</v>
          </cell>
        </row>
        <row r="940">
          <cell r="O940">
            <v>63878</v>
          </cell>
        </row>
        <row r="941">
          <cell r="O941">
            <v>63913</v>
          </cell>
        </row>
        <row r="942">
          <cell r="O942">
            <v>63920</v>
          </cell>
        </row>
        <row r="943">
          <cell r="O943">
            <v>63968</v>
          </cell>
        </row>
        <row r="944">
          <cell r="O944">
            <v>63969</v>
          </cell>
        </row>
        <row r="945">
          <cell r="O945">
            <v>64014</v>
          </cell>
        </row>
        <row r="946">
          <cell r="O946">
            <v>64030</v>
          </cell>
        </row>
        <row r="947">
          <cell r="O947">
            <v>64040</v>
          </cell>
        </row>
        <row r="948">
          <cell r="O948">
            <v>64076</v>
          </cell>
        </row>
        <row r="949">
          <cell r="O949">
            <v>64169</v>
          </cell>
        </row>
        <row r="950">
          <cell r="O950">
            <v>64204</v>
          </cell>
        </row>
        <row r="951">
          <cell r="O951">
            <v>64225</v>
          </cell>
        </row>
        <row r="952">
          <cell r="O952">
            <v>64238</v>
          </cell>
        </row>
        <row r="953">
          <cell r="O953">
            <v>64243</v>
          </cell>
        </row>
        <row r="954">
          <cell r="O954">
            <v>64278</v>
          </cell>
        </row>
        <row r="955">
          <cell r="O955">
            <v>64285</v>
          </cell>
        </row>
        <row r="956">
          <cell r="O956">
            <v>64346</v>
          </cell>
        </row>
        <row r="957">
          <cell r="O957">
            <v>64347</v>
          </cell>
        </row>
        <row r="958">
          <cell r="O958">
            <v>64392</v>
          </cell>
        </row>
        <row r="959">
          <cell r="O959">
            <v>64396</v>
          </cell>
        </row>
        <row r="960">
          <cell r="O960">
            <v>64406</v>
          </cell>
        </row>
        <row r="961">
          <cell r="O961">
            <v>64454</v>
          </cell>
        </row>
        <row r="962">
          <cell r="O962">
            <v>64535</v>
          </cell>
        </row>
        <row r="963">
          <cell r="O963">
            <v>64570</v>
          </cell>
        </row>
        <row r="964">
          <cell r="O964">
            <v>64591</v>
          </cell>
        </row>
        <row r="965">
          <cell r="O965">
            <v>64604</v>
          </cell>
        </row>
        <row r="966">
          <cell r="O966">
            <v>64609</v>
          </cell>
        </row>
        <row r="967">
          <cell r="O967">
            <v>64644</v>
          </cell>
        </row>
        <row r="968">
          <cell r="O968">
            <v>64651</v>
          </cell>
        </row>
        <row r="969">
          <cell r="O969">
            <v>64703</v>
          </cell>
        </row>
        <row r="970">
          <cell r="O970">
            <v>64704</v>
          </cell>
        </row>
        <row r="971">
          <cell r="O971">
            <v>64749</v>
          </cell>
        </row>
        <row r="972">
          <cell r="O972">
            <v>64761</v>
          </cell>
        </row>
        <row r="973">
          <cell r="O973">
            <v>64771</v>
          </cell>
        </row>
        <row r="974">
          <cell r="O974">
            <v>64811</v>
          </cell>
        </row>
        <row r="975">
          <cell r="O975">
            <v>64900</v>
          </cell>
        </row>
        <row r="976">
          <cell r="O976">
            <v>64935</v>
          </cell>
        </row>
        <row r="977">
          <cell r="O977">
            <v>64956</v>
          </cell>
        </row>
        <row r="978">
          <cell r="O978">
            <v>64969</v>
          </cell>
        </row>
        <row r="979">
          <cell r="O979">
            <v>64974</v>
          </cell>
        </row>
        <row r="980">
          <cell r="O980">
            <v>65009</v>
          </cell>
        </row>
        <row r="981">
          <cell r="O981">
            <v>65016</v>
          </cell>
        </row>
        <row r="982">
          <cell r="O982">
            <v>65060</v>
          </cell>
        </row>
        <row r="983">
          <cell r="O983">
            <v>65061</v>
          </cell>
        </row>
        <row r="984">
          <cell r="O984">
            <v>65106</v>
          </cell>
        </row>
        <row r="985">
          <cell r="O985">
            <v>65126</v>
          </cell>
        </row>
        <row r="986">
          <cell r="O986">
            <v>65136</v>
          </cell>
        </row>
        <row r="987">
          <cell r="O987">
            <v>65168</v>
          </cell>
        </row>
        <row r="988">
          <cell r="O988">
            <v>65265</v>
          </cell>
        </row>
        <row r="989">
          <cell r="O989">
            <v>65300</v>
          </cell>
        </row>
        <row r="990">
          <cell r="O990">
            <v>65321</v>
          </cell>
        </row>
        <row r="991">
          <cell r="O991">
            <v>65334</v>
          </cell>
        </row>
        <row r="992">
          <cell r="O992">
            <v>65339</v>
          </cell>
        </row>
        <row r="993">
          <cell r="O993">
            <v>65374</v>
          </cell>
        </row>
        <row r="994">
          <cell r="O994">
            <v>65381</v>
          </cell>
        </row>
        <row r="995">
          <cell r="O995">
            <v>65445</v>
          </cell>
        </row>
        <row r="996">
          <cell r="O996">
            <v>65446</v>
          </cell>
        </row>
        <row r="997">
          <cell r="O997">
            <v>65491</v>
          </cell>
        </row>
        <row r="998">
          <cell r="O998">
            <v>65491</v>
          </cell>
        </row>
        <row r="999">
          <cell r="O999">
            <v>65501</v>
          </cell>
        </row>
        <row r="1000">
          <cell r="O1000">
            <v>65553</v>
          </cell>
        </row>
        <row r="1001">
          <cell r="O1001">
            <v>65630</v>
          </cell>
        </row>
        <row r="1002">
          <cell r="O1002">
            <v>65665</v>
          </cell>
        </row>
        <row r="1003">
          <cell r="O1003">
            <v>65686</v>
          </cell>
        </row>
        <row r="1004">
          <cell r="O1004">
            <v>65699</v>
          </cell>
        </row>
        <row r="1005">
          <cell r="O1005">
            <v>65704</v>
          </cell>
        </row>
        <row r="1006">
          <cell r="O1006">
            <v>65739</v>
          </cell>
        </row>
        <row r="1007">
          <cell r="O1007">
            <v>65746</v>
          </cell>
        </row>
        <row r="1008">
          <cell r="O1008">
            <v>65795</v>
          </cell>
        </row>
        <row r="1009">
          <cell r="O1009">
            <v>65796</v>
          </cell>
        </row>
        <row r="1010">
          <cell r="O1010">
            <v>65841</v>
          </cell>
        </row>
        <row r="1011">
          <cell r="O1011">
            <v>65857</v>
          </cell>
        </row>
        <row r="1012">
          <cell r="O1012">
            <v>65867</v>
          </cell>
        </row>
        <row r="1013">
          <cell r="O1013">
            <v>65903</v>
          </cell>
        </row>
        <row r="1014">
          <cell r="O1014">
            <v>65996</v>
          </cell>
        </row>
        <row r="1015">
          <cell r="O1015">
            <v>66031</v>
          </cell>
        </row>
        <row r="1016">
          <cell r="O1016">
            <v>66052</v>
          </cell>
        </row>
        <row r="1017">
          <cell r="O1017">
            <v>66065</v>
          </cell>
        </row>
        <row r="1018">
          <cell r="O1018">
            <v>66070</v>
          </cell>
        </row>
        <row r="1019">
          <cell r="O1019">
            <v>66105</v>
          </cell>
        </row>
        <row r="1020">
          <cell r="O1020">
            <v>66112</v>
          </cell>
        </row>
        <row r="1021">
          <cell r="O1021">
            <v>66152</v>
          </cell>
        </row>
        <row r="1022">
          <cell r="O1022">
            <v>66153</v>
          </cell>
        </row>
        <row r="1023">
          <cell r="O1023">
            <v>66198</v>
          </cell>
        </row>
        <row r="1024">
          <cell r="O1024">
            <v>66222</v>
          </cell>
        </row>
        <row r="1025">
          <cell r="O1025">
            <v>66232</v>
          </cell>
        </row>
        <row r="1026">
          <cell r="O1026">
            <v>66260</v>
          </cell>
        </row>
        <row r="1027">
          <cell r="O1027">
            <v>66361</v>
          </cell>
        </row>
        <row r="1028">
          <cell r="O1028">
            <v>66396</v>
          </cell>
        </row>
        <row r="1029">
          <cell r="O1029">
            <v>66417</v>
          </cell>
        </row>
        <row r="1030">
          <cell r="O1030">
            <v>66430</v>
          </cell>
        </row>
        <row r="1031">
          <cell r="O1031">
            <v>66435</v>
          </cell>
        </row>
        <row r="1032">
          <cell r="O1032">
            <v>66470</v>
          </cell>
        </row>
        <row r="1033">
          <cell r="O1033">
            <v>66477</v>
          </cell>
        </row>
        <row r="1034">
          <cell r="O1034">
            <v>66537</v>
          </cell>
        </row>
        <row r="1035">
          <cell r="O1035">
            <v>66538</v>
          </cell>
        </row>
        <row r="1036">
          <cell r="O1036">
            <v>66583</v>
          </cell>
        </row>
        <row r="1037">
          <cell r="O1037">
            <v>66587</v>
          </cell>
        </row>
        <row r="1038">
          <cell r="O1038">
            <v>66597</v>
          </cell>
        </row>
        <row r="1039">
          <cell r="O1039">
            <v>66645</v>
          </cell>
        </row>
        <row r="1040">
          <cell r="O1040">
            <v>66726</v>
          </cell>
        </row>
        <row r="1041">
          <cell r="O1041">
            <v>66761</v>
          </cell>
        </row>
        <row r="1042">
          <cell r="O1042">
            <v>66782</v>
          </cell>
        </row>
        <row r="1043">
          <cell r="O1043">
            <v>66795</v>
          </cell>
        </row>
        <row r="1044">
          <cell r="O1044">
            <v>66800</v>
          </cell>
        </row>
        <row r="1045">
          <cell r="O1045">
            <v>66835</v>
          </cell>
        </row>
        <row r="1046">
          <cell r="O1046">
            <v>66842</v>
          </cell>
        </row>
        <row r="1047">
          <cell r="O1047">
            <v>66887</v>
          </cell>
        </row>
        <row r="1048">
          <cell r="O1048">
            <v>66888</v>
          </cell>
        </row>
        <row r="1049">
          <cell r="O1049">
            <v>66933</v>
          </cell>
        </row>
        <row r="1050">
          <cell r="O1050">
            <v>66952</v>
          </cell>
        </row>
        <row r="1051">
          <cell r="O1051">
            <v>66962</v>
          </cell>
        </row>
        <row r="1052">
          <cell r="O1052">
            <v>66995</v>
          </cell>
        </row>
        <row r="1053">
          <cell r="O1053">
            <v>67091</v>
          </cell>
        </row>
        <row r="1054">
          <cell r="O1054">
            <v>67126</v>
          </cell>
        </row>
        <row r="1055">
          <cell r="O1055">
            <v>67147</v>
          </cell>
        </row>
        <row r="1056">
          <cell r="O1056">
            <v>67160</v>
          </cell>
        </row>
        <row r="1057">
          <cell r="O1057">
            <v>67165</v>
          </cell>
        </row>
        <row r="1058">
          <cell r="O1058">
            <v>67200</v>
          </cell>
        </row>
        <row r="1059">
          <cell r="O1059">
            <v>67207</v>
          </cell>
        </row>
        <row r="1060">
          <cell r="O1060">
            <v>67244</v>
          </cell>
        </row>
        <row r="1061">
          <cell r="O1061">
            <v>67245</v>
          </cell>
        </row>
        <row r="1062">
          <cell r="O1062">
            <v>67290</v>
          </cell>
        </row>
        <row r="1063">
          <cell r="O1063">
            <v>67318</v>
          </cell>
        </row>
        <row r="1064">
          <cell r="O1064">
            <v>67328</v>
          </cell>
        </row>
        <row r="1065">
          <cell r="O1065">
            <v>67352</v>
          </cell>
        </row>
        <row r="1066">
          <cell r="O1066">
            <v>67457</v>
          </cell>
        </row>
        <row r="1067">
          <cell r="O1067">
            <v>67492</v>
          </cell>
        </row>
        <row r="1068">
          <cell r="O1068">
            <v>67513</v>
          </cell>
        </row>
        <row r="1069">
          <cell r="O1069">
            <v>67526</v>
          </cell>
        </row>
        <row r="1070">
          <cell r="O1070">
            <v>67531</v>
          </cell>
        </row>
        <row r="1071">
          <cell r="O1071">
            <v>67566</v>
          </cell>
        </row>
        <row r="1072">
          <cell r="O1072">
            <v>67573</v>
          </cell>
        </row>
        <row r="1073">
          <cell r="O1073">
            <v>67629</v>
          </cell>
        </row>
        <row r="1074">
          <cell r="O1074">
            <v>67630</v>
          </cell>
        </row>
        <row r="1075">
          <cell r="O1075">
            <v>67675</v>
          </cell>
        </row>
        <row r="1076">
          <cell r="O1076">
            <v>67683</v>
          </cell>
        </row>
        <row r="1077">
          <cell r="O1077">
            <v>67693</v>
          </cell>
        </row>
        <row r="1078">
          <cell r="O1078">
            <v>67737</v>
          </cell>
        </row>
        <row r="1079">
          <cell r="O1079">
            <v>67822</v>
          </cell>
        </row>
        <row r="1080">
          <cell r="O1080">
            <v>67857</v>
          </cell>
        </row>
        <row r="1081">
          <cell r="O1081">
            <v>67878</v>
          </cell>
        </row>
        <row r="1082">
          <cell r="O1082">
            <v>67891</v>
          </cell>
        </row>
        <row r="1083">
          <cell r="O1083">
            <v>67896</v>
          </cell>
        </row>
        <row r="1084">
          <cell r="O1084">
            <v>67931</v>
          </cell>
        </row>
        <row r="1085">
          <cell r="O1085">
            <v>67938</v>
          </cell>
        </row>
        <row r="1086">
          <cell r="O1086">
            <v>67979</v>
          </cell>
        </row>
        <row r="1087">
          <cell r="O1087">
            <v>67980</v>
          </cell>
        </row>
        <row r="1088">
          <cell r="O1088">
            <v>68025</v>
          </cell>
        </row>
        <row r="1089">
          <cell r="O1089">
            <v>68048</v>
          </cell>
        </row>
        <row r="1090">
          <cell r="O1090">
            <v>68058</v>
          </cell>
        </row>
        <row r="1091">
          <cell r="O1091">
            <v>68087</v>
          </cell>
        </row>
        <row r="1092">
          <cell r="O1092">
            <v>68187</v>
          </cell>
        </row>
        <row r="1093">
          <cell r="O1093">
            <v>68222</v>
          </cell>
        </row>
        <row r="1094">
          <cell r="O1094">
            <v>68243</v>
          </cell>
        </row>
        <row r="1095">
          <cell r="O1095">
            <v>68256</v>
          </cell>
        </row>
        <row r="1096">
          <cell r="O1096">
            <v>68261</v>
          </cell>
        </row>
        <row r="1097">
          <cell r="O1097">
            <v>68296</v>
          </cell>
        </row>
        <row r="1098">
          <cell r="O1098">
            <v>68303</v>
          </cell>
        </row>
        <row r="1099">
          <cell r="O1099">
            <v>68364</v>
          </cell>
        </row>
        <row r="1100">
          <cell r="O1100">
            <v>68365</v>
          </cell>
        </row>
        <row r="1101">
          <cell r="O1101">
            <v>68410</v>
          </cell>
        </row>
        <row r="1102">
          <cell r="O1102">
            <v>68413</v>
          </cell>
        </row>
        <row r="1103">
          <cell r="O1103">
            <v>68423</v>
          </cell>
        </row>
        <row r="1104">
          <cell r="O1104">
            <v>68472</v>
          </cell>
        </row>
        <row r="1105">
          <cell r="O1105">
            <v>68552</v>
          </cell>
        </row>
        <row r="1106">
          <cell r="O1106">
            <v>68587</v>
          </cell>
        </row>
        <row r="1107">
          <cell r="O1107">
            <v>68608</v>
          </cell>
        </row>
        <row r="1108">
          <cell r="O1108">
            <v>68621</v>
          </cell>
        </row>
        <row r="1109">
          <cell r="O1109">
            <v>68626</v>
          </cell>
        </row>
        <row r="1110">
          <cell r="O1110">
            <v>68661</v>
          </cell>
        </row>
        <row r="1111">
          <cell r="O1111">
            <v>68668</v>
          </cell>
        </row>
        <row r="1112">
          <cell r="O1112">
            <v>68721</v>
          </cell>
        </row>
        <row r="1113">
          <cell r="O1113">
            <v>68722</v>
          </cell>
        </row>
        <row r="1114">
          <cell r="O1114">
            <v>68767</v>
          </cell>
        </row>
        <row r="1115">
          <cell r="O1115">
            <v>68779</v>
          </cell>
        </row>
        <row r="1116">
          <cell r="O1116">
            <v>68789</v>
          </cell>
        </row>
        <row r="1117">
          <cell r="O1117">
            <v>68829</v>
          </cell>
        </row>
        <row r="1118">
          <cell r="O1118">
            <v>68918</v>
          </cell>
        </row>
        <row r="1119">
          <cell r="O1119">
            <v>68953</v>
          </cell>
        </row>
        <row r="1120">
          <cell r="O1120">
            <v>68974</v>
          </cell>
        </row>
        <row r="1121">
          <cell r="O1121">
            <v>68987</v>
          </cell>
        </row>
        <row r="1122">
          <cell r="O1122">
            <v>68992</v>
          </cell>
        </row>
        <row r="1123">
          <cell r="O1123">
            <v>69027</v>
          </cell>
        </row>
        <row r="1124">
          <cell r="O1124">
            <v>69034</v>
          </cell>
        </row>
        <row r="1125">
          <cell r="O1125">
            <v>69078</v>
          </cell>
        </row>
        <row r="1126">
          <cell r="O1126">
            <v>69079</v>
          </cell>
        </row>
        <row r="1127">
          <cell r="O1127">
            <v>69124</v>
          </cell>
        </row>
        <row r="1128">
          <cell r="O1128">
            <v>69144</v>
          </cell>
        </row>
        <row r="1129">
          <cell r="O1129">
            <v>69154</v>
          </cell>
        </row>
        <row r="1130">
          <cell r="O1130">
            <v>69186</v>
          </cell>
        </row>
        <row r="1131">
          <cell r="O1131">
            <v>69283</v>
          </cell>
        </row>
        <row r="1132">
          <cell r="O1132">
            <v>69318</v>
          </cell>
        </row>
        <row r="1133">
          <cell r="O1133">
            <v>69339</v>
          </cell>
        </row>
        <row r="1134">
          <cell r="O1134">
            <v>69352</v>
          </cell>
        </row>
        <row r="1135">
          <cell r="O1135">
            <v>69357</v>
          </cell>
        </row>
        <row r="1136">
          <cell r="O1136">
            <v>69392</v>
          </cell>
        </row>
        <row r="1137">
          <cell r="O1137">
            <v>69399</v>
          </cell>
        </row>
        <row r="1138">
          <cell r="O1138">
            <v>69456</v>
          </cell>
        </row>
        <row r="1139">
          <cell r="O1139">
            <v>69457</v>
          </cell>
        </row>
        <row r="1140">
          <cell r="O1140">
            <v>69502</v>
          </cell>
        </row>
        <row r="1141">
          <cell r="O1141">
            <v>69509</v>
          </cell>
        </row>
        <row r="1142">
          <cell r="O1142">
            <v>69519</v>
          </cell>
        </row>
        <row r="1143">
          <cell r="O1143">
            <v>69564</v>
          </cell>
        </row>
        <row r="1144">
          <cell r="O1144">
            <v>69648</v>
          </cell>
        </row>
        <row r="1145">
          <cell r="O1145">
            <v>69683</v>
          </cell>
        </row>
        <row r="1146">
          <cell r="O1146">
            <v>69704</v>
          </cell>
        </row>
        <row r="1147">
          <cell r="O1147">
            <v>69717</v>
          </cell>
        </row>
        <row r="1148">
          <cell r="O1148">
            <v>69722</v>
          </cell>
        </row>
        <row r="1149">
          <cell r="O1149">
            <v>69757</v>
          </cell>
        </row>
        <row r="1150">
          <cell r="O1150">
            <v>69764</v>
          </cell>
        </row>
        <row r="1151">
          <cell r="O1151">
            <v>69813</v>
          </cell>
        </row>
        <row r="1152">
          <cell r="O1152">
            <v>69814</v>
          </cell>
        </row>
        <row r="1153">
          <cell r="O1153">
            <v>69859</v>
          </cell>
        </row>
        <row r="1154">
          <cell r="O1154">
            <v>69874</v>
          </cell>
        </row>
        <row r="1155">
          <cell r="O1155">
            <v>69884</v>
          </cell>
        </row>
        <row r="1156">
          <cell r="O1156">
            <v>69921</v>
          </cell>
        </row>
        <row r="1157">
          <cell r="O1157">
            <v>70013</v>
          </cell>
        </row>
        <row r="1158">
          <cell r="O1158">
            <v>70048</v>
          </cell>
        </row>
        <row r="1159">
          <cell r="O1159">
            <v>70069</v>
          </cell>
        </row>
        <row r="1160">
          <cell r="O1160">
            <v>70082</v>
          </cell>
        </row>
        <row r="1161">
          <cell r="O1161">
            <v>70087</v>
          </cell>
        </row>
        <row r="1162">
          <cell r="O1162">
            <v>70122</v>
          </cell>
        </row>
        <row r="1163">
          <cell r="O1163">
            <v>70129</v>
          </cell>
        </row>
        <row r="1164">
          <cell r="O1164">
            <v>70170</v>
          </cell>
        </row>
        <row r="1165">
          <cell r="O1165">
            <v>70171</v>
          </cell>
        </row>
        <row r="1166">
          <cell r="O1166">
            <v>70216</v>
          </cell>
        </row>
        <row r="1167">
          <cell r="O1167">
            <v>70240</v>
          </cell>
        </row>
        <row r="1168">
          <cell r="O1168">
            <v>70250</v>
          </cell>
        </row>
        <row r="1169">
          <cell r="O1169">
            <v>70278</v>
          </cell>
        </row>
        <row r="1170">
          <cell r="O1170">
            <v>70379</v>
          </cell>
        </row>
        <row r="1171">
          <cell r="O1171">
            <v>70414</v>
          </cell>
        </row>
        <row r="1172">
          <cell r="O1172">
            <v>70435</v>
          </cell>
        </row>
        <row r="1173">
          <cell r="O1173">
            <v>70448</v>
          </cell>
        </row>
        <row r="1174">
          <cell r="O1174">
            <v>70453</v>
          </cell>
        </row>
        <row r="1175">
          <cell r="O1175">
            <v>70488</v>
          </cell>
        </row>
        <row r="1176">
          <cell r="O1176">
            <v>70495</v>
          </cell>
        </row>
        <row r="1177">
          <cell r="O1177">
            <v>70548</v>
          </cell>
        </row>
        <row r="1178">
          <cell r="O1178">
            <v>70549</v>
          </cell>
        </row>
        <row r="1179">
          <cell r="O1179">
            <v>70594</v>
          </cell>
        </row>
        <row r="1180">
          <cell r="O1180">
            <v>70605</v>
          </cell>
        </row>
        <row r="1181">
          <cell r="O1181">
            <v>70615</v>
          </cell>
        </row>
        <row r="1182">
          <cell r="O1182">
            <v>70656</v>
          </cell>
        </row>
        <row r="1183">
          <cell r="O1183">
            <v>70744</v>
          </cell>
        </row>
        <row r="1184">
          <cell r="O1184">
            <v>70779</v>
          </cell>
        </row>
        <row r="1185">
          <cell r="O1185">
            <v>70800</v>
          </cell>
        </row>
        <row r="1186">
          <cell r="O1186">
            <v>70813</v>
          </cell>
        </row>
        <row r="1187">
          <cell r="O1187">
            <v>70818</v>
          </cell>
        </row>
        <row r="1188">
          <cell r="O1188">
            <v>70853</v>
          </cell>
        </row>
        <row r="1189">
          <cell r="O1189">
            <v>70860</v>
          </cell>
        </row>
        <row r="1190">
          <cell r="O1190">
            <v>70905</v>
          </cell>
        </row>
        <row r="1191">
          <cell r="O1191">
            <v>70906</v>
          </cell>
        </row>
        <row r="1192">
          <cell r="O1192">
            <v>70951</v>
          </cell>
        </row>
        <row r="1193">
          <cell r="O1193">
            <v>70970</v>
          </cell>
        </row>
        <row r="1194">
          <cell r="O1194">
            <v>70980</v>
          </cell>
        </row>
        <row r="1195">
          <cell r="O1195">
            <v>71013</v>
          </cell>
        </row>
        <row r="1196">
          <cell r="O1196">
            <v>71109</v>
          </cell>
        </row>
        <row r="1197">
          <cell r="O1197">
            <v>71144</v>
          </cell>
        </row>
        <row r="1198">
          <cell r="O1198">
            <v>71165</v>
          </cell>
        </row>
        <row r="1199">
          <cell r="O1199">
            <v>71178</v>
          </cell>
        </row>
        <row r="1200">
          <cell r="O1200">
            <v>71183</v>
          </cell>
        </row>
        <row r="1201">
          <cell r="O1201">
            <v>71218</v>
          </cell>
        </row>
        <row r="1202">
          <cell r="O1202">
            <v>71225</v>
          </cell>
        </row>
        <row r="1203">
          <cell r="O1203">
            <v>71290</v>
          </cell>
        </row>
        <row r="1204">
          <cell r="O1204">
            <v>71291</v>
          </cell>
        </row>
        <row r="1205">
          <cell r="O1205">
            <v>71335</v>
          </cell>
        </row>
        <row r="1206">
          <cell r="O1206">
            <v>71336</v>
          </cell>
        </row>
        <row r="1207">
          <cell r="O1207">
            <v>71345</v>
          </cell>
        </row>
        <row r="1208">
          <cell r="O1208">
            <v>71398</v>
          </cell>
        </row>
        <row r="1209">
          <cell r="O1209">
            <v>71474</v>
          </cell>
        </row>
        <row r="1210">
          <cell r="O1210">
            <v>71509</v>
          </cell>
        </row>
        <row r="1211">
          <cell r="O1211">
            <v>71530</v>
          </cell>
        </row>
        <row r="1212">
          <cell r="O1212">
            <v>71543</v>
          </cell>
        </row>
        <row r="1213">
          <cell r="O1213">
            <v>71548</v>
          </cell>
        </row>
        <row r="1214">
          <cell r="O1214">
            <v>71583</v>
          </cell>
        </row>
        <row r="1215">
          <cell r="O1215">
            <v>71590</v>
          </cell>
        </row>
        <row r="1216">
          <cell r="O1216">
            <v>71647</v>
          </cell>
        </row>
        <row r="1217">
          <cell r="O1217">
            <v>71648</v>
          </cell>
        </row>
        <row r="1218">
          <cell r="O1218">
            <v>71693</v>
          </cell>
        </row>
        <row r="1219">
          <cell r="O1219">
            <v>71701</v>
          </cell>
        </row>
        <row r="1220">
          <cell r="O1220">
            <v>71711</v>
          </cell>
        </row>
        <row r="1221">
          <cell r="O1221">
            <v>71755</v>
          </cell>
        </row>
        <row r="1222">
          <cell r="O1222">
            <v>71840</v>
          </cell>
        </row>
        <row r="1223">
          <cell r="O1223">
            <v>71875</v>
          </cell>
        </row>
        <row r="1224">
          <cell r="O1224">
            <v>71896</v>
          </cell>
        </row>
        <row r="1225">
          <cell r="O1225">
            <v>71909</v>
          </cell>
        </row>
        <row r="1226">
          <cell r="O1226">
            <v>71914</v>
          </cell>
        </row>
        <row r="1227">
          <cell r="O1227">
            <v>71949</v>
          </cell>
        </row>
        <row r="1228">
          <cell r="O1228">
            <v>71956</v>
          </cell>
        </row>
        <row r="1229">
          <cell r="O1229">
            <v>71997</v>
          </cell>
        </row>
        <row r="1230">
          <cell r="O1230">
            <v>71998</v>
          </cell>
        </row>
        <row r="1231">
          <cell r="O1231">
            <v>72043</v>
          </cell>
        </row>
        <row r="1232">
          <cell r="O1232">
            <v>72066</v>
          </cell>
        </row>
        <row r="1233">
          <cell r="O1233">
            <v>72076</v>
          </cell>
        </row>
        <row r="1234">
          <cell r="O1234">
            <v>72105</v>
          </cell>
        </row>
        <row r="1235">
          <cell r="O1235">
            <v>72205</v>
          </cell>
        </row>
        <row r="1236">
          <cell r="O1236">
            <v>72240</v>
          </cell>
        </row>
        <row r="1237">
          <cell r="O1237">
            <v>72261</v>
          </cell>
        </row>
        <row r="1238">
          <cell r="O1238">
            <v>72274</v>
          </cell>
        </row>
        <row r="1239">
          <cell r="O1239">
            <v>72279</v>
          </cell>
        </row>
        <row r="1240">
          <cell r="O1240">
            <v>72314</v>
          </cell>
        </row>
        <row r="1241">
          <cell r="O1241">
            <v>72321</v>
          </cell>
        </row>
        <row r="1242">
          <cell r="O1242">
            <v>72382</v>
          </cell>
        </row>
        <row r="1243">
          <cell r="O1243">
            <v>72383</v>
          </cell>
        </row>
        <row r="1244">
          <cell r="O1244">
            <v>72428</v>
          </cell>
        </row>
        <row r="1245">
          <cell r="O1245">
            <v>72431</v>
          </cell>
        </row>
        <row r="1246">
          <cell r="O1246">
            <v>72441</v>
          </cell>
        </row>
        <row r="1247">
          <cell r="O1247">
            <v>72490</v>
          </cell>
        </row>
        <row r="1248">
          <cell r="O1248">
            <v>72570</v>
          </cell>
        </row>
        <row r="1249">
          <cell r="O1249">
            <v>72605</v>
          </cell>
        </row>
        <row r="1250">
          <cell r="O1250">
            <v>72626</v>
          </cell>
        </row>
        <row r="1251">
          <cell r="O1251">
            <v>72639</v>
          </cell>
        </row>
        <row r="1252">
          <cell r="O1252">
            <v>72644</v>
          </cell>
        </row>
        <row r="1253">
          <cell r="O1253">
            <v>72679</v>
          </cell>
        </row>
        <row r="1254">
          <cell r="O1254">
            <v>72686</v>
          </cell>
        </row>
        <row r="1255">
          <cell r="O1255">
            <v>72739</v>
          </cell>
        </row>
        <row r="1256">
          <cell r="O1256">
            <v>72740</v>
          </cell>
        </row>
        <row r="1257">
          <cell r="O1257">
            <v>72785</v>
          </cell>
        </row>
        <row r="1258">
          <cell r="O1258">
            <v>72796</v>
          </cell>
        </row>
        <row r="1259">
          <cell r="O1259">
            <v>72806</v>
          </cell>
        </row>
        <row r="1260">
          <cell r="O1260">
            <v>72847</v>
          </cell>
        </row>
        <row r="1261">
          <cell r="O1261">
            <v>72935</v>
          </cell>
        </row>
        <row r="1262">
          <cell r="O1262">
            <v>72970</v>
          </cell>
        </row>
        <row r="1263">
          <cell r="O1263">
            <v>72991</v>
          </cell>
        </row>
        <row r="1264">
          <cell r="O1264">
            <v>73004</v>
          </cell>
        </row>
        <row r="1265">
          <cell r="O1265">
            <v>73009</v>
          </cell>
        </row>
        <row r="1266">
          <cell r="O1266">
            <v>73044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9CF9A3-6E20-44B8-B964-D17AD37CB5B5}">
  <dimension ref="A1:T41"/>
  <sheetViews>
    <sheetView workbookViewId="0">
      <selection activeCell="C6" sqref="C6"/>
    </sheetView>
  </sheetViews>
  <sheetFormatPr defaultRowHeight="15" x14ac:dyDescent="0.25"/>
  <cols>
    <col min="1" max="1" width="9.140625" style="1"/>
    <col min="2" max="2" width="9.85546875" style="1" bestFit="1" customWidth="1"/>
    <col min="3" max="3" width="9.140625" style="1"/>
    <col min="4" max="4" width="26.28515625" style="1" customWidth="1"/>
    <col min="5" max="5" width="12" style="1" customWidth="1"/>
    <col min="6" max="9" width="9.140625" style="1"/>
    <col min="10" max="10" width="12.140625" style="1" bestFit="1" customWidth="1"/>
    <col min="11" max="11" width="9.42578125" style="1" bestFit="1" customWidth="1"/>
    <col min="12" max="16384" width="9.140625" style="1"/>
  </cols>
  <sheetData>
    <row r="1" spans="1:20" x14ac:dyDescent="0.25">
      <c r="A1" s="1" t="s">
        <v>0</v>
      </c>
      <c r="B1" s="2">
        <f ca="1">TODAY()</f>
        <v>46127</v>
      </c>
      <c r="E1" s="3" t="s">
        <v>1</v>
      </c>
      <c r="F1" s="4" t="s">
        <v>2</v>
      </c>
      <c r="K1" s="1">
        <v>14.65</v>
      </c>
    </row>
    <row r="3" spans="1:20" x14ac:dyDescent="0.25">
      <c r="B3" s="5" t="s">
        <v>3</v>
      </c>
      <c r="C3" s="5" t="s">
        <v>4</v>
      </c>
      <c r="D3" s="5" t="s">
        <v>5</v>
      </c>
      <c r="E3" s="5" t="s">
        <v>6</v>
      </c>
      <c r="F3" s="5" t="s">
        <v>7</v>
      </c>
      <c r="G3" s="5" t="s">
        <v>8</v>
      </c>
      <c r="H3" s="5" t="s">
        <v>9</v>
      </c>
      <c r="I3" s="5" t="s">
        <v>10</v>
      </c>
      <c r="J3" s="5" t="s">
        <v>11</v>
      </c>
      <c r="K3" s="5" t="s">
        <v>12</v>
      </c>
      <c r="L3" s="5" t="s">
        <v>13</v>
      </c>
      <c r="M3" s="5" t="s">
        <v>14</v>
      </c>
      <c r="N3" s="5"/>
      <c r="O3" s="5" t="s">
        <v>15</v>
      </c>
      <c r="P3" s="5" t="s">
        <v>16</v>
      </c>
      <c r="Q3" s="5" t="s">
        <v>17</v>
      </c>
    </row>
    <row r="4" spans="1:20" x14ac:dyDescent="0.25">
      <c r="B4" s="6" t="str">
        <f ca="1">[1]Contract!E3</f>
        <v>DI1May 26</v>
      </c>
      <c r="C4" s="7" t="str">
        <f ca="1">[1]Contract!F3</f>
        <v>DI1K26</v>
      </c>
      <c r="D4" s="6" t="str">
        <f ca="1">RTD("tt.rtd",,"Inst",$F$1,$C4)</f>
        <v>6830951289805470595</v>
      </c>
      <c r="E4" s="7">
        <f ca="1">RTD("tt.rtd",,$D4,E$3)</f>
        <v>0</v>
      </c>
      <c r="F4" s="6" t="str">
        <f ca="1">RTD("tt.rtd",,$D4,F$3)</f>
        <v>N/A</v>
      </c>
      <c r="G4" s="7" t="str">
        <f ca="1">RTD("tt.rtd",,$D4,G$3)</f>
        <v>N/A</v>
      </c>
      <c r="H4" s="6">
        <f ca="1">RTD("tt.rtd",,$D4,H$3)</f>
        <v>0</v>
      </c>
      <c r="I4" s="7" t="str">
        <f ca="1">RTD("tt.rtd",,$D4,I$3)</f>
        <v>14.634</v>
      </c>
      <c r="J4" s="8">
        <f ca="1">[1]Contract!C3</f>
        <v>46146</v>
      </c>
      <c r="K4" s="7">
        <f ca="1">NETWORKDAYS($B$1,$J4,[1]Contract!$O$3:$O$1266)-1</f>
        <v>11</v>
      </c>
      <c r="L4" s="9" t="str">
        <f ca="1">IFERROR((F4*H4+G4*E4)/(E4+H4),"")</f>
        <v/>
      </c>
      <c r="M4" s="7"/>
      <c r="N4" s="6">
        <f ca="1">(1+I4/100)^(K4/252)</f>
        <v>1.0059793803241686</v>
      </c>
      <c r="O4" s="10">
        <f ca="1">100000/(1+I4/100)^(K4/252)</f>
        <v>99405.616015485153</v>
      </c>
      <c r="P4" s="11">
        <f ca="1">((100000/(1+I4/100)^(K4/252))-((100000/(1+(I4+0.01)/100)^(K4/252))))/5.2</f>
        <v>7.2789126234755919E-2</v>
      </c>
      <c r="Q4" s="12">
        <f ca="1">(O4/(1+$I4/100)^(1/252))-(O4/(1+$K$1/100)^(1/252))</f>
        <v>5.5023868233547546E-2</v>
      </c>
      <c r="T4" s="1">
        <f ca="1">(100000/(1+$I4/100)^(K4/252))-(100000/(1+$I$4/100)^((K4-1)/252))</f>
        <v>-53.888602597609861</v>
      </c>
    </row>
    <row r="5" spans="1:20" x14ac:dyDescent="0.25">
      <c r="B5" s="13" t="str">
        <f ca="1">[1]Contract!E4</f>
        <v>DI1Jun 26</v>
      </c>
      <c r="C5" s="1" t="str">
        <f ca="1">[1]Contract!F4</f>
        <v>DI1M26</v>
      </c>
      <c r="D5" s="13" t="str">
        <f ca="1">RTD("tt.rtd",,"Inst",$F$1,$C5)</f>
        <v>6349657410249189749</v>
      </c>
      <c r="E5" s="1">
        <f ca="1">RTD("tt.rtd",,$D5,E$3)</f>
        <v>0</v>
      </c>
      <c r="F5" s="13" t="str">
        <f ca="1">RTD("tt.rtd",,$D5,F$3)</f>
        <v>N/A</v>
      </c>
      <c r="G5" s="1" t="str">
        <f ca="1">RTD("tt.rtd",,$D5,G$3)</f>
        <v>N/A</v>
      </c>
      <c r="H5" s="13">
        <f ca="1">RTD("tt.rtd",,$D5,H$3)</f>
        <v>0</v>
      </c>
      <c r="I5" s="1" t="str">
        <f ca="1">RTD("tt.rtd",,$D5,I$3)</f>
        <v>14.468</v>
      </c>
      <c r="J5" s="14">
        <f ca="1">[1]Contract!C4</f>
        <v>46174</v>
      </c>
      <c r="K5" s="1">
        <f ca="1">NETWORKDAYS($B$1,$J5,[1]Contract!$O$3:$O$1266)-1</f>
        <v>31</v>
      </c>
      <c r="L5" s="15" t="str">
        <f ca="1">IFERROR((F5*H5+G5*E5)/(E5+H5),"")</f>
        <v/>
      </c>
      <c r="N5" s="13">
        <f t="shared" ref="N5:N41" ca="1" si="0">(1+I5/100)^(K5/252)</f>
        <v>1.0167614578604258</v>
      </c>
      <c r="O5" s="16">
        <f t="shared" ref="O5:O41" ca="1" si="1">100000/(1+I5/100)^(K5/252)</f>
        <v>98351.485716650102</v>
      </c>
      <c r="P5" s="17">
        <f t="shared" ref="P5:P41" ca="1" si="2">((100000/(1+I5/100)^(K5/252))-((100000/(1+(I5+0.01)/100)^(K5/252))))/5.2</f>
        <v>0.20325130207381265</v>
      </c>
      <c r="Q5" s="18">
        <f t="shared" ref="Q5:Q41" ca="1" si="3">(O5/(1+$I5/100)^(1/252))-(O5/(1+$K$1/100)^(1/252))</f>
        <v>0.61970986134838313</v>
      </c>
    </row>
    <row r="6" spans="1:20" x14ac:dyDescent="0.25">
      <c r="B6" s="13" t="str">
        <f ca="1">[1]Contract!E5</f>
        <v>DI1Jul 26</v>
      </c>
      <c r="C6" s="1" t="str">
        <f ca="1">[1]Contract!F5</f>
        <v>DI1N26</v>
      </c>
      <c r="D6" s="13" t="str">
        <f ca="1">RTD("tt.rtd",,"Inst",$F$1,$C6)</f>
        <v>4308256969868171920</v>
      </c>
      <c r="E6" s="1">
        <f ca="1">RTD("tt.rtd",,$D6,E$3)</f>
        <v>0</v>
      </c>
      <c r="F6" s="13" t="str">
        <f ca="1">RTD("tt.rtd",,$D6,F$3)</f>
        <v>N/A</v>
      </c>
      <c r="G6" s="1" t="str">
        <f ca="1">RTD("tt.rtd",,$D6,G$3)</f>
        <v>14.416</v>
      </c>
      <c r="H6" s="13">
        <f ca="1">RTD("tt.rtd",,$D6,H$3)</f>
        <v>2000</v>
      </c>
      <c r="I6" s="1" t="str">
        <f ca="1">RTD("tt.rtd",,$D6,I$3)</f>
        <v>14.398</v>
      </c>
      <c r="J6" s="14">
        <f ca="1">[1]Contract!C5</f>
        <v>46204</v>
      </c>
      <c r="K6" s="1">
        <f ca="1">NETWORKDAYS($B$1,$J6,[1]Contract!$O$3:$O$1266)-1</f>
        <v>52</v>
      </c>
      <c r="L6" s="15" t="str">
        <f t="shared" ref="L6:L41" ca="1" si="4">IFERROR((F6*H6+G6*E6)/(E6+H6),"")</f>
        <v/>
      </c>
      <c r="N6" s="13">
        <f t="shared" ca="1" si="0"/>
        <v>1.0281455426408626</v>
      </c>
      <c r="O6" s="16">
        <f t="shared" ca="1" si="1"/>
        <v>97262.494318793746</v>
      </c>
      <c r="P6" s="17">
        <f t="shared" ca="1" si="2"/>
        <v>0.33736772506157509</v>
      </c>
      <c r="Q6" s="18">
        <f t="shared" ca="1" si="3"/>
        <v>0.84881951280112844</v>
      </c>
    </row>
    <row r="7" spans="1:20" x14ac:dyDescent="0.25">
      <c r="B7" s="13" t="str">
        <f ca="1">[1]Contract!E6</f>
        <v>DI1Aug 26</v>
      </c>
      <c r="C7" s="1" t="str">
        <f ca="1">[1]Contract!F6</f>
        <v>DI1Q26</v>
      </c>
      <c r="D7" s="13" t="str">
        <f ca="1">RTD("tt.rtd",,"Inst",$F$1,$C7)</f>
        <v>3543554736820970695</v>
      </c>
      <c r="E7" s="1">
        <f ca="1">RTD("tt.rtd",,$D7,E$3)</f>
        <v>0</v>
      </c>
      <c r="F7" s="13" t="str">
        <f ca="1">RTD("tt.rtd",,$D7,F$3)</f>
        <v>N/A</v>
      </c>
      <c r="G7" s="1" t="str">
        <f ca="1">RTD("tt.rtd",,$D7,G$3)</f>
        <v>N/A</v>
      </c>
      <c r="H7" s="13">
        <f ca="1">RTD("tt.rtd",,$D7,H$3)</f>
        <v>0</v>
      </c>
      <c r="I7" s="1" t="str">
        <f ca="1">RTD("tt.rtd",,$D7,I$3)</f>
        <v>14.313</v>
      </c>
      <c r="J7" s="14">
        <f ca="1">[1]Contract!C6</f>
        <v>46237</v>
      </c>
      <c r="K7" s="1">
        <f ca="1">NETWORKDAYS($B$1,$J7,[1]Contract!$O$3:$O$1266)-1</f>
        <v>75</v>
      </c>
      <c r="L7" s="15" t="str">
        <f t="shared" ca="1" si="4"/>
        <v/>
      </c>
      <c r="N7" s="13">
        <f t="shared" ca="1" si="0"/>
        <v>1.0406156758129166</v>
      </c>
      <c r="O7" s="16">
        <f t="shared" ca="1" si="1"/>
        <v>96096.957142108382</v>
      </c>
      <c r="P7" s="17">
        <f t="shared" ca="1" si="2"/>
        <v>0.48111261485945966</v>
      </c>
      <c r="Q7" s="18">
        <f t="shared" ca="1" si="3"/>
        <v>1.1219433376536472</v>
      </c>
    </row>
    <row r="8" spans="1:20" x14ac:dyDescent="0.25">
      <c r="B8" s="13" t="str">
        <f ca="1">[1]Contract!E7</f>
        <v>DI1Sep 26</v>
      </c>
      <c r="C8" s="1" t="str">
        <f ca="1">[1]Contract!F7</f>
        <v>DI1U26</v>
      </c>
      <c r="D8" s="13" t="str">
        <f ca="1">RTD("tt.rtd",,"Inst",$F$1,$C8)</f>
        <v>7176047761201419741</v>
      </c>
      <c r="E8" s="1">
        <f ca="1">RTD("tt.rtd",,$D8,E$3)</f>
        <v>0</v>
      </c>
      <c r="F8" s="13" t="str">
        <f ca="1">RTD("tt.rtd",,$D8,F$3)</f>
        <v>N/A</v>
      </c>
      <c r="G8" s="1" t="str">
        <f ca="1">RTD("tt.rtd",,$D8,G$3)</f>
        <v>N/A</v>
      </c>
      <c r="H8" s="13">
        <f ca="1">RTD("tt.rtd",,$D8,H$3)</f>
        <v>0</v>
      </c>
      <c r="I8" s="1" t="str">
        <f ca="1">RTD("tt.rtd",,$D8,I$3)</f>
        <v>14.225</v>
      </c>
      <c r="J8" s="14">
        <f ca="1">[1]Contract!C7</f>
        <v>46266</v>
      </c>
      <c r="K8" s="1">
        <f ca="1">NETWORKDAYS($B$1,$J8,[1]Contract!$O$3:$O$1266)-1</f>
        <v>96</v>
      </c>
      <c r="L8" s="15" t="str">
        <f t="shared" ca="1" si="4"/>
        <v/>
      </c>
      <c r="N8" s="13">
        <f t="shared" ca="1" si="0"/>
        <v>1.051972178026926</v>
      </c>
      <c r="O8" s="16">
        <f t="shared" ca="1" si="1"/>
        <v>95059.54823592343</v>
      </c>
      <c r="P8" s="17">
        <f t="shared" ca="1" si="2"/>
        <v>0.60964311906830582</v>
      </c>
      <c r="Q8" s="18">
        <f t="shared" ca="1" si="3"/>
        <v>1.4001799732068321</v>
      </c>
    </row>
    <row r="9" spans="1:20" x14ac:dyDescent="0.25">
      <c r="B9" s="19" t="str">
        <f ca="1">[1]Contract!E8</f>
        <v>DI1Oct 26</v>
      </c>
      <c r="C9" s="20" t="str">
        <f ca="1">[1]Contract!F8</f>
        <v>DI1V26</v>
      </c>
      <c r="D9" s="19" t="str">
        <f ca="1">RTD("tt.rtd",,"Inst",$F$1,$C9)</f>
        <v>10014664349356694569</v>
      </c>
      <c r="E9" s="20">
        <f ca="1">RTD("tt.rtd",,$D9,E$3)</f>
        <v>0</v>
      </c>
      <c r="F9" s="19" t="str">
        <f ca="1">RTD("tt.rtd",,$D9,F$3)</f>
        <v>N/A</v>
      </c>
      <c r="G9" s="20" t="str">
        <f ca="1">RTD("tt.rtd",,$D9,G$3)</f>
        <v>14.165</v>
      </c>
      <c r="H9" s="19">
        <f ca="1">RTD("tt.rtd",,$D9,H$3)</f>
        <v>400</v>
      </c>
      <c r="I9" s="20" t="str">
        <f ca="1">RTD("tt.rtd",,$D9,I$3)</f>
        <v>14.161</v>
      </c>
      <c r="J9" s="21">
        <f ca="1">[1]Contract!C8</f>
        <v>46296</v>
      </c>
      <c r="K9" s="20">
        <f ca="1">NETWORKDAYS($B$1,$J9,[1]Contract!$O$3:$O$1266)-1</f>
        <v>117</v>
      </c>
      <c r="L9" s="15" t="str">
        <f t="shared" ca="1" si="4"/>
        <v/>
      </c>
      <c r="M9" s="20"/>
      <c r="N9" s="19">
        <f t="shared" ca="1" si="0"/>
        <v>1.0634196385072998</v>
      </c>
      <c r="O9" s="22">
        <f t="shared" ca="1" si="1"/>
        <v>94036.254719132266</v>
      </c>
      <c r="P9" s="23">
        <f t="shared" ca="1" si="2"/>
        <v>0.73541364806890042</v>
      </c>
      <c r="Q9" s="24">
        <f t="shared" ca="1" si="3"/>
        <v>1.5941363745951094</v>
      </c>
    </row>
    <row r="10" spans="1:20" x14ac:dyDescent="0.25">
      <c r="B10" s="6" t="str">
        <f ca="1">[1]Contract!E9</f>
        <v>DI1Nov 26</v>
      </c>
      <c r="C10" s="7" t="str">
        <f ca="1">[1]Contract!F9</f>
        <v>DI1X26</v>
      </c>
      <c r="D10" s="6" t="str">
        <f ca="1">RTD("tt.rtd",,"Inst",$F$1,$C10)</f>
        <v>3062018159838013665</v>
      </c>
      <c r="E10" s="7">
        <f ca="1">RTD("tt.rtd",,$D10,E$3)</f>
        <v>0</v>
      </c>
      <c r="F10" s="6" t="str">
        <f ca="1">RTD("tt.rtd",,$D10,F$3)</f>
        <v>N/A</v>
      </c>
      <c r="G10" s="7" t="str">
        <f ca="1">RTD("tt.rtd",,$D10,G$3)</f>
        <v>N/A</v>
      </c>
      <c r="H10" s="6">
        <f ca="1">RTD("tt.rtd",,$D10,H$3)</f>
        <v>0</v>
      </c>
      <c r="I10" s="7" t="str">
        <f ca="1">RTD("tt.rtd",,$D10,I$3)</f>
        <v>14.102</v>
      </c>
      <c r="J10" s="8">
        <f ca="1">[1]Contract!C9</f>
        <v>46329</v>
      </c>
      <c r="K10" s="7">
        <f ca="1">NETWORKDAYS($B$1,$J10,[1]Contract!$O$3:$O$1266)-1</f>
        <v>138</v>
      </c>
      <c r="L10" s="15" t="str">
        <f t="shared" ca="1" si="4"/>
        <v/>
      </c>
      <c r="M10" s="7"/>
      <c r="N10" s="6">
        <f t="shared" ca="1" si="0"/>
        <v>1.0749168697655975</v>
      </c>
      <c r="O10" s="10">
        <f t="shared" ca="1" si="1"/>
        <v>93030.449900564461</v>
      </c>
      <c r="P10" s="11">
        <f t="shared" ca="1" si="2"/>
        <v>0.85857376698606036</v>
      </c>
      <c r="Q10" s="12">
        <f t="shared" ca="1" si="3"/>
        <v>1.7678262681729393</v>
      </c>
    </row>
    <row r="11" spans="1:20" x14ac:dyDescent="0.25">
      <c r="B11" s="13" t="str">
        <f ca="1">[1]Contract!E10</f>
        <v>DI1Dec 26</v>
      </c>
      <c r="C11" s="1" t="str">
        <f ca="1">[1]Contract!F10</f>
        <v>DI1Z26</v>
      </c>
      <c r="D11" s="13" t="str">
        <f ca="1">RTD("tt.rtd",,"Inst",$F$1,$C11)</f>
        <v>3011409362963908888</v>
      </c>
      <c r="E11" s="1">
        <f ca="1">RTD("tt.rtd",,$D11,E$3)</f>
        <v>0</v>
      </c>
      <c r="F11" s="13" t="str">
        <f ca="1">RTD("tt.rtd",,$D11,F$3)</f>
        <v>N/A</v>
      </c>
      <c r="G11" s="1" t="str">
        <f ca="1">RTD("tt.rtd",,$D11,G$3)</f>
        <v>N/A</v>
      </c>
      <c r="H11" s="13">
        <f ca="1">RTD("tt.rtd",,$D11,H$3)</f>
        <v>0</v>
      </c>
      <c r="I11" s="1" t="str">
        <f ca="1">RTD("tt.rtd",,$D11,I$3)</f>
        <v>14.054</v>
      </c>
      <c r="J11" s="14">
        <f ca="1">[1]Contract!C10</f>
        <v>46357</v>
      </c>
      <c r="K11" s="1">
        <f ca="1">NETWORKDAYS($B$1,$J11,[1]Contract!$O$3:$O$1266)-1</f>
        <v>157</v>
      </c>
      <c r="L11" s="15" t="str">
        <f t="shared" ca="1" si="4"/>
        <v/>
      </c>
      <c r="N11" s="13">
        <f t="shared" ca="1" si="0"/>
        <v>1.0853773669917384</v>
      </c>
      <c r="O11" s="16">
        <f t="shared" ca="1" si="1"/>
        <v>92133.854124084726</v>
      </c>
      <c r="P11" s="17">
        <f t="shared" ca="1" si="2"/>
        <v>0.96777318932604073</v>
      </c>
      <c r="Q11" s="18">
        <f t="shared" ca="1" si="3"/>
        <v>1.9045441996713635</v>
      </c>
    </row>
    <row r="12" spans="1:20" x14ac:dyDescent="0.25">
      <c r="B12" s="13" t="str">
        <f ca="1">[1]Contract!E11</f>
        <v>DI1Jan 27</v>
      </c>
      <c r="C12" s="1" t="str">
        <f ca="1">[1]Contract!F11</f>
        <v>DI1F27</v>
      </c>
      <c r="D12" s="13" t="str">
        <f ca="1">RTD("tt.rtd",,"Inst",$F$1,$C12)</f>
        <v>6947687583888825095</v>
      </c>
      <c r="E12" s="1">
        <f ca="1">RTD("tt.rtd",,$D12,E$3)</f>
        <v>1666</v>
      </c>
      <c r="F12" s="13" t="str">
        <f ca="1">RTD("tt.rtd",,$D12,F$3)</f>
        <v>13.950</v>
      </c>
      <c r="G12" s="1" t="str">
        <f ca="1">RTD("tt.rtd",,$D12,G$3)</f>
        <v>13.970</v>
      </c>
      <c r="H12" s="13">
        <f ca="1">RTD("tt.rtd",,$D12,H$3)</f>
        <v>36</v>
      </c>
      <c r="I12" s="1" t="str">
        <f ca="1">RTD("tt.rtd",,$D12,I$3)</f>
        <v>13.988</v>
      </c>
      <c r="J12" s="14">
        <f ca="1">[1]Contract!C11</f>
        <v>46391</v>
      </c>
      <c r="K12" s="1">
        <f ca="1">NETWORKDAYS($B$1,$J12,[1]Contract!$O$3:$O$1266)-1</f>
        <v>179</v>
      </c>
      <c r="L12" s="15">
        <f t="shared" ca="1" si="4"/>
        <v>13.969576968272621</v>
      </c>
      <c r="N12" s="13">
        <f t="shared" ca="1" si="0"/>
        <v>1.0974583203980626</v>
      </c>
      <c r="O12" s="16">
        <f t="shared" ca="1" si="1"/>
        <v>91119.633558137022</v>
      </c>
      <c r="P12" s="17">
        <f t="shared" ca="1" si="2"/>
        <v>1.0918661373356231</v>
      </c>
      <c r="Q12" s="18">
        <f t="shared" ca="1" si="3"/>
        <v>2.0927704218192957</v>
      </c>
    </row>
    <row r="13" spans="1:20" x14ac:dyDescent="0.25">
      <c r="B13" s="13" t="str">
        <f ca="1">[1]Contract!E12</f>
        <v>DI1Feb 27</v>
      </c>
      <c r="C13" s="1" t="str">
        <f ca="1">[1]Contract!F12</f>
        <v>DI1G27</v>
      </c>
      <c r="D13" s="13" t="str">
        <f ca="1">RTD("tt.rtd",,"Inst",$F$1,$C13)</f>
        <v>11528461929651083064</v>
      </c>
      <c r="E13" s="1">
        <f ca="1">RTD("tt.rtd",,$D13,E$3)</f>
        <v>0</v>
      </c>
      <c r="F13" s="13" t="str">
        <f ca="1">RTD("tt.rtd",,$D13,F$3)</f>
        <v>N/A</v>
      </c>
      <c r="G13" s="1" t="str">
        <f ca="1">RTD("tt.rtd",,$D13,G$3)</f>
        <v>N/A</v>
      </c>
      <c r="H13" s="13">
        <f ca="1">RTD("tt.rtd",,$D13,H$3)</f>
        <v>0</v>
      </c>
      <c r="I13" s="1" t="str">
        <f ca="1">RTD("tt.rtd",,$D13,I$3)</f>
        <v>13.936</v>
      </c>
      <c r="J13" s="14">
        <f ca="1">[1]Contract!C12</f>
        <v>46419</v>
      </c>
      <c r="K13" s="1">
        <f ca="1">NETWORKDAYS($B$1,$J13,[1]Contract!$O$3:$O$1266)-1</f>
        <v>199</v>
      </c>
      <c r="L13" s="15" t="str">
        <f t="shared" ca="1" si="4"/>
        <v/>
      </c>
      <c r="N13" s="13">
        <f t="shared" ca="1" si="0"/>
        <v>1.1085216446872048</v>
      </c>
      <c r="O13" s="16">
        <f t="shared" ca="1" si="1"/>
        <v>90210.236741220622</v>
      </c>
      <c r="P13" s="17">
        <f t="shared" ca="1" si="2"/>
        <v>1.2022919479428449</v>
      </c>
      <c r="Q13" s="18">
        <f t="shared" ca="1" si="3"/>
        <v>2.2351416192686884</v>
      </c>
    </row>
    <row r="14" spans="1:20" x14ac:dyDescent="0.25">
      <c r="B14" s="13" t="str">
        <f ca="1">[1]Contract!E13</f>
        <v>DI1Mar 27</v>
      </c>
      <c r="C14" s="1" t="str">
        <f ca="1">[1]Contract!F13</f>
        <v>DI1H27</v>
      </c>
      <c r="D14" s="13" t="str">
        <f ca="1">RTD("tt.rtd",,"Inst",$F$1,$C14)</f>
        <v>2572527398927182557</v>
      </c>
      <c r="E14" s="1">
        <f ca="1">RTD("tt.rtd",,$D14,E$3)</f>
        <v>0</v>
      </c>
      <c r="F14" s="13" t="str">
        <f ca="1">RTD("tt.rtd",,$D14,F$3)</f>
        <v>N/A</v>
      </c>
      <c r="G14" s="1" t="str">
        <f ca="1">RTD("tt.rtd",,$D14,G$3)</f>
        <v>N/A</v>
      </c>
      <c r="H14" s="13">
        <f ca="1">RTD("tt.rtd",,$D14,H$3)</f>
        <v>0</v>
      </c>
      <c r="I14" s="1" t="str">
        <f ca="1">RTD("tt.rtd",,$D14,I$3)</f>
        <v>13.888</v>
      </c>
      <c r="J14" s="14">
        <f ca="1">[1]Contract!C13</f>
        <v>46447</v>
      </c>
      <c r="K14" s="1">
        <f ca="1">NETWORKDAYS($B$1,$J14,[1]Contract!$O$3:$O$1266)-1</f>
        <v>217</v>
      </c>
      <c r="L14" s="15" t="str">
        <f t="shared" ca="1" si="4"/>
        <v/>
      </c>
      <c r="N14" s="13">
        <f t="shared" ca="1" si="0"/>
        <v>1.1184943749968859</v>
      </c>
      <c r="O14" s="16">
        <f t="shared" ca="1" si="1"/>
        <v>89405.903360290409</v>
      </c>
      <c r="P14" s="17">
        <f t="shared" ca="1" si="2"/>
        <v>1.299895962958824</v>
      </c>
      <c r="Q14" s="18">
        <f t="shared" ca="1" si="3"/>
        <v>2.3646340757113649</v>
      </c>
    </row>
    <row r="15" spans="1:20" x14ac:dyDescent="0.25">
      <c r="B15" s="13" t="str">
        <f ca="1">[1]Contract!E14</f>
        <v>DI1Apr 27</v>
      </c>
      <c r="C15" s="1" t="str">
        <f ca="1">[1]Contract!F14</f>
        <v>DI1J27</v>
      </c>
      <c r="D15" s="13" t="str">
        <f ca="1">RTD("tt.rtd",,"Inst",$F$1,$C15)</f>
        <v>6667533323116404583</v>
      </c>
      <c r="E15" s="1">
        <f ca="1">RTD("tt.rtd",,$D15,E$3)</f>
        <v>90</v>
      </c>
      <c r="F15" s="13" t="str">
        <f ca="1">RTD("tt.rtd",,$D15,F$3)</f>
        <v>13.760</v>
      </c>
      <c r="G15" s="1" t="str">
        <f ca="1">RTD("tt.rtd",,$D15,G$3)</f>
        <v>13.835</v>
      </c>
      <c r="H15" s="13">
        <f ca="1">RTD("tt.rtd",,$D15,H$3)</f>
        <v>90</v>
      </c>
      <c r="I15" s="1" t="str">
        <f ca="1">RTD("tt.rtd",,$D15,I$3)</f>
        <v>13.827</v>
      </c>
      <c r="J15" s="14">
        <f ca="1">[1]Contract!C14</f>
        <v>46478</v>
      </c>
      <c r="K15" s="1">
        <f ca="1">NETWORKDAYS($B$1,$J15,[1]Contract!$O$3:$O$1266)-1</f>
        <v>239</v>
      </c>
      <c r="L15" s="15">
        <f t="shared" ca="1" si="4"/>
        <v>13.797500000000001</v>
      </c>
      <c r="N15" s="13">
        <f t="shared" ca="1" si="0"/>
        <v>1.1306905099804967</v>
      </c>
      <c r="O15" s="16">
        <f t="shared" ca="1" si="1"/>
        <v>88441.531185863496</v>
      </c>
      <c r="P15" s="17">
        <f t="shared" ca="1" si="2"/>
        <v>1.4169933478842722</v>
      </c>
      <c r="Q15" s="18">
        <f t="shared" ca="1" si="3"/>
        <v>2.5270598646748113</v>
      </c>
    </row>
    <row r="16" spans="1:20" x14ac:dyDescent="0.25">
      <c r="B16" s="19" t="str">
        <f ca="1">[1]Contract!E15</f>
        <v>DI1Jul 27</v>
      </c>
      <c r="C16" s="20" t="str">
        <f ca="1">[1]Contract!F15</f>
        <v>DI1N27</v>
      </c>
      <c r="D16" s="19" t="str">
        <f ca="1">RTD("tt.rtd",,"Inst",$F$1,$C16)</f>
        <v>14170903681535090898</v>
      </c>
      <c r="E16" s="20">
        <f ca="1">RTD("tt.rtd",,$D16,E$3)</f>
        <v>80</v>
      </c>
      <c r="F16" s="19" t="str">
        <f ca="1">RTD("tt.rtd",,$D16,F$3)</f>
        <v>13.585</v>
      </c>
      <c r="G16" s="20" t="str">
        <f ca="1">RTD("tt.rtd",,$D16,G$3)</f>
        <v>13.655</v>
      </c>
      <c r="H16" s="19">
        <f ca="1">RTD("tt.rtd",,$D16,H$3)</f>
        <v>80</v>
      </c>
      <c r="I16" s="20" t="str">
        <f ca="1">RTD("tt.rtd",,$D16,I$3)</f>
        <v>13.649</v>
      </c>
      <c r="J16" s="21">
        <f ca="1">[1]Contract!C15</f>
        <v>46569</v>
      </c>
      <c r="K16" s="20">
        <f ca="1">NETWORKDAYS($B$1,$J16,[1]Contract!$O$3:$O$1266)-1</f>
        <v>302</v>
      </c>
      <c r="L16" s="15">
        <f t="shared" ca="1" si="4"/>
        <v>13.62</v>
      </c>
      <c r="M16" s="20"/>
      <c r="N16" s="13">
        <f t="shared" ca="1" si="0"/>
        <v>1.1657100563482787</v>
      </c>
      <c r="O16" s="22">
        <f t="shared" ca="1" si="1"/>
        <v>85784.624963484952</v>
      </c>
      <c r="P16" s="23">
        <f t="shared" ca="1" si="2"/>
        <v>1.7394217408638304</v>
      </c>
      <c r="Q16" s="24">
        <f t="shared" ca="1" si="3"/>
        <v>2.9836213645612588</v>
      </c>
    </row>
    <row r="17" spans="2:17" x14ac:dyDescent="0.25">
      <c r="B17" s="6" t="str">
        <f ca="1">[1]Contract!E16</f>
        <v>DI1Oct 27</v>
      </c>
      <c r="C17" s="7" t="str">
        <f ca="1">[1]Contract!F16</f>
        <v>DI1V27</v>
      </c>
      <c r="D17" s="6" t="str">
        <f ca="1">RTD("tt.rtd",,"Inst",$F$1,$C17)</f>
        <v>16094481866404510245</v>
      </c>
      <c r="E17" s="7">
        <f ca="1">RTD("tt.rtd",,$D17,E$3)</f>
        <v>10</v>
      </c>
      <c r="F17" s="6" t="str">
        <f ca="1">RTD("tt.rtd",,$D17,F$3)</f>
        <v>13.450</v>
      </c>
      <c r="G17" s="7" t="str">
        <f ca="1">RTD("tt.rtd",,$D17,G$3)</f>
        <v>13.520</v>
      </c>
      <c r="H17" s="6">
        <f ca="1">RTD("tt.rtd",,$D17,H$3)</f>
        <v>80</v>
      </c>
      <c r="I17" s="7" t="str">
        <f ca="1">RTD("tt.rtd",,$D17,I$3)</f>
        <v>13.510</v>
      </c>
      <c r="J17" s="8">
        <f ca="1">[1]Contract!C16</f>
        <v>46661</v>
      </c>
      <c r="K17" s="7">
        <f ca="1">NETWORKDAYS($B$1,$J17,[1]Contract!$O$3:$O$1266)-1</f>
        <v>367</v>
      </c>
      <c r="L17" s="15">
        <f t="shared" ca="1" si="4"/>
        <v>13.457777777777778</v>
      </c>
      <c r="M17" s="7"/>
      <c r="N17" s="6">
        <f t="shared" ca="1" si="0"/>
        <v>1.2026767140332746</v>
      </c>
      <c r="O17" s="10">
        <f t="shared" ca="1" si="1"/>
        <v>83147.864121058621</v>
      </c>
      <c r="P17" s="17">
        <f t="shared" ca="1" si="2"/>
        <v>2.0513141014481122</v>
      </c>
      <c r="Q17" s="6">
        <f t="shared" ca="1" si="3"/>
        <v>3.2955090564064449</v>
      </c>
    </row>
    <row r="18" spans="2:17" x14ac:dyDescent="0.25">
      <c r="B18" s="13" t="str">
        <f ca="1">[1]Contract!E17</f>
        <v>DI1Jan 28</v>
      </c>
      <c r="C18" s="1" t="str">
        <f ca="1">[1]Contract!F17</f>
        <v>DI1F28</v>
      </c>
      <c r="D18" s="13" t="str">
        <f ca="1">RTD("tt.rtd",,"Inst",$F$1,$C18)</f>
        <v>16630883641985446084</v>
      </c>
      <c r="E18" s="1">
        <f ca="1">RTD("tt.rtd",,$D18,E$3)</f>
        <v>3005</v>
      </c>
      <c r="F18" s="13" t="str">
        <f ca="1">RTD("tt.rtd",,$D18,F$3)</f>
        <v>13.330</v>
      </c>
      <c r="G18" s="1" t="str">
        <f ca="1">RTD("tt.rtd",,$D18,G$3)</f>
        <v>13.360</v>
      </c>
      <c r="H18" s="13">
        <f ca="1">RTD("tt.rtd",,$D18,H$3)</f>
        <v>50</v>
      </c>
      <c r="I18" s="1" t="str">
        <f ca="1">RTD("tt.rtd",,$D18,I$3)</f>
        <v>13.379</v>
      </c>
      <c r="J18" s="14">
        <f ca="1">[1]Contract!C17</f>
        <v>46755</v>
      </c>
      <c r="K18" s="1">
        <f ca="1">NETWORKDAYS($B$1,$J18,[1]Contract!$O$3:$O$1266)-1</f>
        <v>430</v>
      </c>
      <c r="L18" s="15">
        <f t="shared" ca="1" si="4"/>
        <v>13.35950900163666</v>
      </c>
      <c r="N18" s="13">
        <f t="shared" ca="1" si="0"/>
        <v>1.2389440565322554</v>
      </c>
      <c r="O18" s="16">
        <f t="shared" ca="1" si="1"/>
        <v>80713.894604648391</v>
      </c>
      <c r="P18" s="17">
        <f t="shared" ca="1" si="2"/>
        <v>2.335761103293827</v>
      </c>
      <c r="Q18" s="13">
        <f t="shared" ca="1" si="3"/>
        <v>3.5687137849599821</v>
      </c>
    </row>
    <row r="19" spans="2:17" x14ac:dyDescent="0.25">
      <c r="B19" s="13" t="str">
        <f ca="1">[1]Contract!E18</f>
        <v>DI1Apr 28</v>
      </c>
      <c r="C19" s="1" t="str">
        <f ca="1">[1]Contract!F18</f>
        <v>DI1J28</v>
      </c>
      <c r="D19" s="13" t="str">
        <f ca="1">RTD("tt.rtd",,"Inst",$F$1,$C19)</f>
        <v>5352545927749150301</v>
      </c>
      <c r="E19" s="1">
        <f ca="1">RTD("tt.rtd",,$D19,E$3)</f>
        <v>70</v>
      </c>
      <c r="F19" s="13" t="str">
        <f ca="1">RTD("tt.rtd",,$D19,F$3)</f>
        <v>13.240</v>
      </c>
      <c r="G19" s="1" t="str">
        <f ca="1">RTD("tt.rtd",,$D19,G$3)</f>
        <v>13.290</v>
      </c>
      <c r="H19" s="13">
        <f ca="1">RTD("tt.rtd",,$D19,H$3)</f>
        <v>70</v>
      </c>
      <c r="I19" s="1" t="str">
        <f ca="1">RTD("tt.rtd",,$D19,I$3)</f>
        <v>13.301</v>
      </c>
      <c r="J19" s="14">
        <f ca="1">[1]Contract!C18</f>
        <v>46846</v>
      </c>
      <c r="K19" s="1">
        <f ca="1">NETWORKDAYS($B$1,$J19,[1]Contract!$O$3:$O$1266)-1</f>
        <v>493</v>
      </c>
      <c r="L19" s="15">
        <f t="shared" ca="1" si="4"/>
        <v>13.264999999999999</v>
      </c>
      <c r="N19" s="13">
        <f t="shared" ca="1" si="0"/>
        <v>1.2767331652487759</v>
      </c>
      <c r="O19" s="16">
        <f t="shared" ca="1" si="1"/>
        <v>78324.901962200267</v>
      </c>
      <c r="P19" s="17">
        <f t="shared" ca="1" si="2"/>
        <v>2.6004738729814281</v>
      </c>
      <c r="Q19" s="13">
        <f t="shared" ca="1" si="3"/>
        <v>3.6768796970427502</v>
      </c>
    </row>
    <row r="20" spans="2:17" x14ac:dyDescent="0.25">
      <c r="B20" s="13" t="str">
        <f ca="1">[1]Contract!E19</f>
        <v>DI1Jul 28</v>
      </c>
      <c r="C20" s="1" t="str">
        <f ca="1">[1]Contract!F19</f>
        <v>DI1N28</v>
      </c>
      <c r="D20" s="13" t="str">
        <f ca="1">RTD("tt.rtd",,"Inst",$F$1,$C20)</f>
        <v>5854173501169453927</v>
      </c>
      <c r="E20" s="1">
        <f ca="1">RTD("tt.rtd",,$D20,E$3)</f>
        <v>61</v>
      </c>
      <c r="F20" s="13" t="str">
        <f ca="1">RTD("tt.rtd",,$D20,F$3)</f>
        <v>13.190</v>
      </c>
      <c r="G20" s="1" t="str">
        <f ca="1">RTD("tt.rtd",,$D20,G$3)</f>
        <v>13.220</v>
      </c>
      <c r="H20" s="13">
        <f ca="1">RTD("tt.rtd",,$D20,H$3)</f>
        <v>10</v>
      </c>
      <c r="I20" s="1" t="str">
        <f ca="1">RTD("tt.rtd",,$D20,I$3)</f>
        <v>13.246</v>
      </c>
      <c r="J20" s="14">
        <f ca="1">[1]Contract!C19</f>
        <v>46937</v>
      </c>
      <c r="K20" s="1">
        <f ca="1">NETWORKDAYS($B$1,$J20,[1]Contract!$O$3:$O$1266)-1</f>
        <v>554</v>
      </c>
      <c r="L20" s="15">
        <f t="shared" ca="1" si="4"/>
        <v>13.215774647887324</v>
      </c>
      <c r="N20" s="13">
        <f t="shared" ca="1" si="0"/>
        <v>1.3145120325184352</v>
      </c>
      <c r="O20" s="16">
        <f t="shared" ca="1" si="1"/>
        <v>76073.856705908518</v>
      </c>
      <c r="P20" s="17">
        <f t="shared" ca="1" si="2"/>
        <v>2.839599673968153</v>
      </c>
      <c r="Q20" s="13">
        <f t="shared" ca="1" si="3"/>
        <v>3.7177124426671071</v>
      </c>
    </row>
    <row r="21" spans="2:17" x14ac:dyDescent="0.25">
      <c r="B21" s="13" t="str">
        <f ca="1">[1]Contract!E20</f>
        <v>DI1Oct 28</v>
      </c>
      <c r="C21" s="1" t="str">
        <f ca="1">[1]Contract!F20</f>
        <v>DI1V28</v>
      </c>
      <c r="D21" s="13" t="str">
        <f ca="1">RTD("tt.rtd",,"Inst",$F$1,$C21)</f>
        <v>1467101705448099047</v>
      </c>
      <c r="E21" s="1">
        <f ca="1">RTD("tt.rtd",,$D21,E$3)</f>
        <v>0</v>
      </c>
      <c r="F21" s="13" t="str">
        <f ca="1">RTD("tt.rtd",,$D21,F$3)</f>
        <v>N/A</v>
      </c>
      <c r="G21" s="1" t="str">
        <f ca="1">RTD("tt.rtd",,$D21,G$3)</f>
        <v>N/A</v>
      </c>
      <c r="H21" s="13">
        <f ca="1">RTD("tt.rtd",,$D21,H$3)</f>
        <v>0</v>
      </c>
      <c r="I21" s="1" t="str">
        <f ca="1">RTD("tt.rtd",,$D21,I$3)</f>
        <v>13.222</v>
      </c>
      <c r="J21" s="14">
        <f ca="1">[1]Contract!C20</f>
        <v>47028</v>
      </c>
      <c r="K21" s="1">
        <f ca="1">NETWORKDAYS($B$1,$J21,[1]Contract!$O$3:$O$1266)-1</f>
        <v>618</v>
      </c>
      <c r="L21" s="15" t="str">
        <f t="shared" ca="1" si="4"/>
        <v/>
      </c>
      <c r="N21" s="13">
        <f t="shared" ca="1" si="0"/>
        <v>1.3559976005470249</v>
      </c>
      <c r="O21" s="16">
        <f t="shared" ca="1" si="1"/>
        <v>73746.44317929387</v>
      </c>
      <c r="P21" s="23">
        <f t="shared" ca="1" si="2"/>
        <v>3.0713452500612428</v>
      </c>
      <c r="Q21" s="13">
        <f t="shared" ca="1" si="3"/>
        <v>3.6659678433061345</v>
      </c>
    </row>
    <row r="22" spans="2:17" x14ac:dyDescent="0.25">
      <c r="B22" s="13" t="str">
        <f ca="1">[1]Contract!E21</f>
        <v>DI1Jan 29</v>
      </c>
      <c r="C22" s="1" t="str">
        <f ca="1">[1]Contract!F21</f>
        <v>DI1F29</v>
      </c>
      <c r="D22" s="13" t="str">
        <f ca="1">RTD("tt.rtd",,"Inst",$F$1,$C22)</f>
        <v>7804222143105039987</v>
      </c>
      <c r="E22" s="1">
        <f ca="1">RTD("tt.rtd",,$D22,E$3)</f>
        <v>318</v>
      </c>
      <c r="F22" s="13" t="str">
        <f ca="1">RTD("tt.rtd",,$D22,F$3)</f>
        <v>13.150</v>
      </c>
      <c r="G22" s="1" t="str">
        <f ca="1">RTD("tt.rtd",,$D22,G$3)</f>
        <v>13.170</v>
      </c>
      <c r="H22" s="13">
        <f ca="1">RTD("tt.rtd",,$D22,H$3)</f>
        <v>61</v>
      </c>
      <c r="I22" s="1" t="str">
        <f ca="1">RTD("tt.rtd",,$D22,I$3)</f>
        <v>13.200</v>
      </c>
      <c r="J22" s="14">
        <f ca="1">[1]Contract!C21</f>
        <v>47120</v>
      </c>
      <c r="K22" s="1">
        <f ca="1">NETWORKDAYS($B$1,$J22,[1]Contract!$O$3:$O$1266)-1</f>
        <v>678</v>
      </c>
      <c r="L22" s="15">
        <f t="shared" ca="1" si="4"/>
        <v>13.166781002638523</v>
      </c>
      <c r="N22" s="13">
        <f t="shared" ca="1" si="0"/>
        <v>1.3959585704247326</v>
      </c>
      <c r="O22" s="16">
        <f t="shared" ca="1" si="1"/>
        <v>71635.363769838907</v>
      </c>
      <c r="P22" s="11">
        <f t="shared" ca="1" si="2"/>
        <v>3.2736787868522628</v>
      </c>
      <c r="Q22" s="13">
        <f t="shared" ca="1" si="3"/>
        <v>3.6162389023957076</v>
      </c>
    </row>
    <row r="23" spans="2:17" x14ac:dyDescent="0.25">
      <c r="B23" s="13" t="str">
        <f ca="1">[1]Contract!E22</f>
        <v>DI1Apr 29</v>
      </c>
      <c r="C23" s="1" t="str">
        <f ca="1">[1]Contract!F22</f>
        <v>DI1J29</v>
      </c>
      <c r="D23" s="13" t="str">
        <f ca="1">RTD("tt.rtd",,"Inst",$F$1,$C23)</f>
        <v>1555274955611157900</v>
      </c>
      <c r="E23" s="1">
        <f ca="1">RTD("tt.rtd",,$D23,E$3)</f>
        <v>0</v>
      </c>
      <c r="F23" s="13" t="str">
        <f ca="1">RTD("tt.rtd",,$D23,F$3)</f>
        <v>N/A</v>
      </c>
      <c r="G23" s="1" t="str">
        <f ca="1">RTD("tt.rtd",,$D23,G$3)</f>
        <v>N/A</v>
      </c>
      <c r="H23" s="13">
        <f ca="1">RTD("tt.rtd",,$D23,H$3)</f>
        <v>0</v>
      </c>
      <c r="I23" s="1" t="str">
        <f ca="1">RTD("tt.rtd",,$D23,I$3)</f>
        <v>13.208</v>
      </c>
      <c r="J23" s="14">
        <f ca="1">[1]Contract!C22</f>
        <v>47210</v>
      </c>
      <c r="K23" s="1">
        <f ca="1">NETWORKDAYS($B$1,$J23,[1]Contract!$O$3:$O$1266)-1</f>
        <v>739</v>
      </c>
      <c r="L23" s="15" t="str">
        <f t="shared" ca="1" si="4"/>
        <v/>
      </c>
      <c r="N23" s="13">
        <f t="shared" ca="1" si="0"/>
        <v>1.4387879317484376</v>
      </c>
      <c r="O23" s="16">
        <f t="shared" ca="1" si="1"/>
        <v>69502.946051596664</v>
      </c>
      <c r="P23" s="17">
        <f t="shared" ca="1" si="2"/>
        <v>3.4617143068121199</v>
      </c>
      <c r="Q23" s="13">
        <f t="shared" ca="1" si="3"/>
        <v>3.4891106388968183</v>
      </c>
    </row>
    <row r="24" spans="2:17" x14ac:dyDescent="0.25">
      <c r="B24" s="19" t="str">
        <f ca="1">[1]Contract!E23</f>
        <v>DI1Jul 29</v>
      </c>
      <c r="C24" s="20" t="str">
        <f ca="1">[1]Contract!F23</f>
        <v>DI1N29</v>
      </c>
      <c r="D24" s="19" t="str">
        <f ca="1">RTD("tt.rtd",,"Inst",$F$1,$C24)</f>
        <v>4900375261969717634</v>
      </c>
      <c r="E24" s="20">
        <f ca="1">RTD("tt.rtd",,$D24,E$3)</f>
        <v>62</v>
      </c>
      <c r="F24" s="19" t="str">
        <f ca="1">RTD("tt.rtd",,$D24,F$3)</f>
        <v>13.160</v>
      </c>
      <c r="G24" s="20" t="str">
        <f ca="1">RTD("tt.rtd",,$D24,G$3)</f>
        <v>13.205</v>
      </c>
      <c r="H24" s="19">
        <f ca="1">RTD("tt.rtd",,$D24,H$3)</f>
        <v>62</v>
      </c>
      <c r="I24" s="20" t="str">
        <f ca="1">RTD("tt.rtd",,$D24,I$3)</f>
        <v>13.221</v>
      </c>
      <c r="J24" s="21">
        <f ca="1">[1]Contract!C23</f>
        <v>47301</v>
      </c>
      <c r="K24" s="20">
        <f ca="1">NETWORKDAYS($B$1,$J24,[1]Contract!$O$3:$O$1266)-1</f>
        <v>802</v>
      </c>
      <c r="L24" s="15">
        <f t="shared" ca="1" si="4"/>
        <v>13.182500000000001</v>
      </c>
      <c r="M24" s="20"/>
      <c r="N24" s="19">
        <f t="shared" ca="1" si="0"/>
        <v>1.4846523638712958</v>
      </c>
      <c r="O24" s="22">
        <f t="shared" ca="1" si="1"/>
        <v>67355.835233539547</v>
      </c>
      <c r="P24" s="17">
        <f t="shared" ca="1" si="2"/>
        <v>3.6403111931185075</v>
      </c>
      <c r="Q24" s="19">
        <f t="shared" ca="1" si="3"/>
        <v>3.3506475001486251</v>
      </c>
    </row>
    <row r="25" spans="2:17" x14ac:dyDescent="0.25">
      <c r="B25" s="6" t="str">
        <f ca="1">[1]Contract!E24</f>
        <v>DI1Oct 29</v>
      </c>
      <c r="C25" s="7" t="str">
        <f ca="1">[1]Contract!F24</f>
        <v>DI1V29</v>
      </c>
      <c r="D25" s="6" t="str">
        <f ca="1">RTD("tt.rtd",,"Inst",$F$1,$C25)</f>
        <v>12026219287793565681</v>
      </c>
      <c r="E25" s="7">
        <f ca="1">RTD("tt.rtd",,$D25,E$3)</f>
        <v>0</v>
      </c>
      <c r="F25" s="6" t="str">
        <f ca="1">RTD("tt.rtd",,$D25,F$3)</f>
        <v>N/A</v>
      </c>
      <c r="G25" s="7" t="str">
        <f ca="1">RTD("tt.rtd",,$D25,G$3)</f>
        <v>N/A</v>
      </c>
      <c r="H25" s="6">
        <f ca="1">RTD("tt.rtd",,$D25,H$3)</f>
        <v>0</v>
      </c>
      <c r="I25" s="7" t="str">
        <f ca="1">RTD("tt.rtd",,$D25,I$3)</f>
        <v>13.229</v>
      </c>
      <c r="J25" s="8">
        <f ca="1">[1]Contract!C24</f>
        <v>47392</v>
      </c>
      <c r="K25" s="7">
        <f ca="1">NETWORKDAYS($B$1,$J25,[1]Contract!$O$3:$O$1266)-1</f>
        <v>866</v>
      </c>
      <c r="L25" s="15" t="str">
        <f t="shared" ca="1" si="4"/>
        <v/>
      </c>
      <c r="M25" s="7"/>
      <c r="N25" s="6">
        <f t="shared" ca="1" si="0"/>
        <v>1.5325899288646552</v>
      </c>
      <c r="O25" s="10">
        <f t="shared" ca="1" si="1"/>
        <v>65249.025924423338</v>
      </c>
      <c r="P25" s="11">
        <f ca="1">((100000/(1+I25/100)^(K25/252))-((100000/(1+(I25+0.01)/100)^(K25/252))))/5.2</f>
        <v>3.8075471646166426</v>
      </c>
      <c r="Q25" s="6">
        <f t="shared" ca="1" si="3"/>
        <v>3.2275577758991858</v>
      </c>
    </row>
    <row r="26" spans="2:17" x14ac:dyDescent="0.25">
      <c r="B26" s="13" t="str">
        <f ca="1">[1]Contract!E25</f>
        <v>DI1Jan 30</v>
      </c>
      <c r="C26" s="1" t="str">
        <f ca="1">[1]Contract!F25</f>
        <v>DI1F30</v>
      </c>
      <c r="D26" s="13" t="str">
        <f ca="1">RTD("tt.rtd",,"Inst",$F$1,$C26)</f>
        <v>1241034196156492141</v>
      </c>
      <c r="E26" s="1">
        <f ca="1">RTD("tt.rtd",,$D26,E$3)</f>
        <v>52</v>
      </c>
      <c r="F26" s="13" t="str">
        <f ca="1">RTD("tt.rtd",,$D26,F$3)</f>
        <v>13.180</v>
      </c>
      <c r="G26" s="1" t="str">
        <f ca="1">RTD("tt.rtd",,$D26,G$3)</f>
        <v>13.220</v>
      </c>
      <c r="H26" s="13">
        <f ca="1">RTD("tt.rtd",,$D26,H$3)</f>
        <v>50</v>
      </c>
      <c r="I26" s="1" t="str">
        <f ca="1">RTD("tt.rtd",,$D26,I$3)</f>
        <v>13.242</v>
      </c>
      <c r="J26" s="14">
        <f ca="1">[1]Contract!C25</f>
        <v>47485</v>
      </c>
      <c r="K26" s="1">
        <f ca="1">NETWORKDAYS($B$1,$J26,[1]Contract!$O$3:$O$1266)-1</f>
        <v>927</v>
      </c>
      <c r="L26" s="15">
        <f t="shared" ca="1" si="4"/>
        <v>13.200392156862746</v>
      </c>
      <c r="N26" s="13">
        <f t="shared" ca="1" si="0"/>
        <v>1.5800490180231364</v>
      </c>
      <c r="O26" s="16">
        <f t="shared" ca="1" si="1"/>
        <v>63289.175752986492</v>
      </c>
      <c r="P26" s="17">
        <f t="shared" ca="1" si="2"/>
        <v>3.9528292102715148</v>
      </c>
      <c r="Q26" s="13">
        <f t="shared" ca="1" si="3"/>
        <v>3.1017945759085706</v>
      </c>
    </row>
    <row r="27" spans="2:17" x14ac:dyDescent="0.25">
      <c r="B27" s="13" t="str">
        <f ca="1">[1]Contract!E26</f>
        <v>DI1Apr 30</v>
      </c>
      <c r="C27" s="1" t="str">
        <f ca="1">[1]Contract!F26</f>
        <v>DI1J30</v>
      </c>
      <c r="D27" s="13" t="str">
        <f ca="1">RTD("tt.rtd",,"Inst",$F$1,$C27)</f>
        <v>49896872476011958</v>
      </c>
      <c r="E27" s="1">
        <f ca="1">RTD("tt.rtd",,$D27,E$3)</f>
        <v>10</v>
      </c>
      <c r="F27" s="13" t="str">
        <f ca="1">RTD("tt.rtd",,$D27,F$3)</f>
        <v>13.175</v>
      </c>
      <c r="G27" s="1" t="str">
        <f ca="1">RTD("tt.rtd",,$D27,G$3)</f>
        <v>N/A</v>
      </c>
      <c r="H27" s="13">
        <f ca="1">RTD("tt.rtd",,$D27,H$3)</f>
        <v>0</v>
      </c>
      <c r="I27" s="1" t="str">
        <f ca="1">RTD("tt.rtd",,$D27,I$3)</f>
        <v>13.245</v>
      </c>
      <c r="J27" s="14">
        <f ca="1">[1]Contract!C26</f>
        <v>47574</v>
      </c>
      <c r="K27" s="1">
        <f ca="1">NETWORKDAYS($B$1,$J27,[1]Contract!$O$3:$O$1266)-1</f>
        <v>988</v>
      </c>
      <c r="L27" s="15" t="str">
        <f t="shared" ca="1" si="4"/>
        <v/>
      </c>
      <c r="N27" s="13">
        <f t="shared" ca="1" si="0"/>
        <v>1.6285043364527687</v>
      </c>
      <c r="O27" s="16">
        <f t="shared" ca="1" si="1"/>
        <v>61406.038511276805</v>
      </c>
      <c r="P27" s="17">
        <f t="shared" ca="1" si="2"/>
        <v>4.0874340431680771</v>
      </c>
      <c r="Q27" s="13">
        <f t="shared" ca="1" si="3"/>
        <v>3.0030501097862725</v>
      </c>
    </row>
    <row r="28" spans="2:17" x14ac:dyDescent="0.25">
      <c r="B28" s="13" t="str">
        <f ca="1">[1]Contract!E27</f>
        <v>DI1Jul 30</v>
      </c>
      <c r="C28" s="1" t="str">
        <f ca="1">[1]Contract!F27</f>
        <v>DI1N30</v>
      </c>
      <c r="D28" s="13" t="str">
        <f ca="1">RTD("tt.rtd",,"Inst",$F$1,$C28)</f>
        <v>15059569274646670796</v>
      </c>
      <c r="E28" s="1">
        <f ca="1">RTD("tt.rtd",,$D28,E$3)</f>
        <v>0</v>
      </c>
      <c r="F28" s="13" t="str">
        <f ca="1">RTD("tt.rtd",,$D28,F$3)</f>
        <v>N/A</v>
      </c>
      <c r="G28" s="1" t="str">
        <f ca="1">RTD("tt.rtd",,$D28,G$3)</f>
        <v>N/A</v>
      </c>
      <c r="H28" s="13">
        <f ca="1">RTD("tt.rtd",,$D28,H$3)</f>
        <v>0</v>
      </c>
      <c r="I28" s="1" t="str">
        <f ca="1">RTD("tt.rtd",,$D28,I$3)</f>
        <v>13.265</v>
      </c>
      <c r="J28" s="14">
        <f ca="1">[1]Contract!C27</f>
        <v>47665</v>
      </c>
      <c r="K28" s="1">
        <f ca="1">NETWORKDAYS($B$1,$J28,[1]Contract!$O$3:$O$1266)-1</f>
        <v>1050</v>
      </c>
      <c r="L28" s="15" t="str">
        <f t="shared" ca="1" si="4"/>
        <v/>
      </c>
      <c r="N28" s="13">
        <f t="shared" ca="1" si="0"/>
        <v>1.6803466023593792</v>
      </c>
      <c r="O28" s="16">
        <f t="shared" ca="1" si="1"/>
        <v>59511.531644477232</v>
      </c>
      <c r="P28" s="17">
        <f t="shared" ca="1" si="2"/>
        <v>4.2091244491096473</v>
      </c>
      <c r="Q28" s="13">
        <f t="shared" ca="1" si="3"/>
        <v>2.8687166550735128</v>
      </c>
    </row>
    <row r="29" spans="2:17" x14ac:dyDescent="0.25">
      <c r="B29" s="13" t="str">
        <f ca="1">[1]Contract!E28</f>
        <v>DI1Oct 30</v>
      </c>
      <c r="C29" s="1" t="str">
        <f ca="1">[1]Contract!F28</f>
        <v>DI1V30</v>
      </c>
      <c r="D29" s="13" t="str">
        <f ca="1">RTD("tt.rtd",,"Inst",$F$1,$C29)</f>
        <v>14692557659821352817</v>
      </c>
      <c r="E29" s="1">
        <f ca="1">RTD("tt.rtd",,$D29,E$3)</f>
        <v>20</v>
      </c>
      <c r="F29" s="13" t="str">
        <f ca="1">RTD("tt.rtd",,$D29,F$3)</f>
        <v>13.215</v>
      </c>
      <c r="G29" s="1" t="str">
        <f ca="1">RTD("tt.rtd",,$D29,G$3)</f>
        <v>N/A</v>
      </c>
      <c r="H29" s="13">
        <f ca="1">RTD("tt.rtd",,$D29,H$3)</f>
        <v>0</v>
      </c>
      <c r="I29" s="1" t="str">
        <f ca="1">RTD("tt.rtd",,$D29,I$3)</f>
        <v>13.275</v>
      </c>
      <c r="J29" s="14">
        <f ca="1">[1]Contract!C28</f>
        <v>47757</v>
      </c>
      <c r="K29" s="1">
        <f ca="1">NETWORKDAYS($B$1,$J29,[1]Contract!$O$3:$O$1266)-1</f>
        <v>1116</v>
      </c>
      <c r="L29" s="15" t="str">
        <f t="shared" ca="1" si="4"/>
        <v/>
      </c>
      <c r="N29" s="13">
        <f t="shared" ca="1" si="0"/>
        <v>1.7367471684503757</v>
      </c>
      <c r="O29" s="16">
        <f t="shared" ca="1" si="1"/>
        <v>57578.904872622115</v>
      </c>
      <c r="P29" s="17">
        <f t="shared" ca="1" si="2"/>
        <v>4.327983354536487</v>
      </c>
      <c r="Q29" s="13">
        <f t="shared" ca="1" si="3"/>
        <v>2.7553935924806865</v>
      </c>
    </row>
    <row r="30" spans="2:17" x14ac:dyDescent="0.25">
      <c r="B30" s="13" t="str">
        <f ca="1">[1]Contract!E29</f>
        <v>DI1Jan 31</v>
      </c>
      <c r="C30" s="1" t="str">
        <f ca="1">[1]Contract!F29</f>
        <v>DI1F31</v>
      </c>
      <c r="D30" s="13" t="str">
        <f ca="1">RTD("tt.rtd",,"Inst",$F$1,$C30)</f>
        <v>5289708689298979968</v>
      </c>
      <c r="E30" s="1">
        <f ca="1">RTD("tt.rtd",,$D30,E$3)</f>
        <v>210</v>
      </c>
      <c r="F30" s="13" t="str">
        <f ca="1">RTD("tt.rtd",,$D30,F$3)</f>
        <v>13.250</v>
      </c>
      <c r="G30" s="1" t="str">
        <f ca="1">RTD("tt.rtd",,$D30,G$3)</f>
        <v>13.270</v>
      </c>
      <c r="H30" s="13">
        <f ca="1">RTD("tt.rtd",,$D30,H$3)</f>
        <v>97</v>
      </c>
      <c r="I30" s="1" t="str">
        <f ca="1">RTD("tt.rtd",,$D30,I$3)</f>
        <v>13.298</v>
      </c>
      <c r="J30" s="14">
        <f ca="1">[1]Contract!C29</f>
        <v>47850</v>
      </c>
      <c r="K30" s="1">
        <f ca="1">NETWORKDAYS($B$1,$J30,[1]Contract!$O$3:$O$1266)-1</f>
        <v>1179</v>
      </c>
      <c r="L30" s="15">
        <f t="shared" ca="1" si="4"/>
        <v>13.263680781758957</v>
      </c>
      <c r="N30" s="13">
        <f t="shared" ca="1" si="0"/>
        <v>1.7934226043968369</v>
      </c>
      <c r="O30" s="16">
        <f t="shared" ca="1" si="1"/>
        <v>55759.306119391731</v>
      </c>
      <c r="P30" s="23">
        <f t="shared" ca="1" si="2"/>
        <v>4.4268643051187748</v>
      </c>
      <c r="Q30" s="13">
        <f t="shared" ca="1" si="3"/>
        <v>2.6234175791614689</v>
      </c>
    </row>
    <row r="31" spans="2:17" x14ac:dyDescent="0.25">
      <c r="B31" s="19" t="str">
        <f ca="1">[1]Contract!E30</f>
        <v>DI1Apr 31</v>
      </c>
      <c r="C31" s="20" t="str">
        <f ca="1">[1]Contract!F30</f>
        <v>DI1J31</v>
      </c>
      <c r="D31" s="19" t="str">
        <f ca="1">RTD("tt.rtd",,"Inst",$F$1,$C31)</f>
        <v>16149570627125062398</v>
      </c>
      <c r="E31" s="20">
        <f ca="1">RTD("tt.rtd",,$D31,E$3)</f>
        <v>0</v>
      </c>
      <c r="F31" s="19" t="str">
        <f ca="1">RTD("tt.rtd",,$D31,F$3)</f>
        <v>N/A</v>
      </c>
      <c r="G31" s="20" t="str">
        <f ca="1">RTD("tt.rtd",,$D31,G$3)</f>
        <v>N/A</v>
      </c>
      <c r="H31" s="19">
        <f ca="1">RTD("tt.rtd",,$D31,H$3)</f>
        <v>0</v>
      </c>
      <c r="I31" s="20" t="str">
        <f ca="1">RTD("tt.rtd",,$D31,I$3)</f>
        <v>13.313</v>
      </c>
      <c r="J31" s="21">
        <f ca="1">[1]Contract!C30</f>
        <v>47939</v>
      </c>
      <c r="K31" s="20">
        <f ca="1">NETWORKDAYS($B$1,$J31,[1]Contract!$O$3:$O$1266)-1</f>
        <v>1240</v>
      </c>
      <c r="L31" s="15" t="str">
        <f t="shared" ca="1" si="4"/>
        <v/>
      </c>
      <c r="M31" s="20"/>
      <c r="N31" s="19">
        <f t="shared" ca="1" si="0"/>
        <v>1.8496551808680344</v>
      </c>
      <c r="O31" s="22">
        <f t="shared" ca="1" si="1"/>
        <v>54064.130998227723</v>
      </c>
      <c r="P31" s="11">
        <f t="shared" ca="1" si="2"/>
        <v>4.5137119244226103</v>
      </c>
      <c r="Q31" s="19">
        <f t="shared" ca="1" si="3"/>
        <v>2.5152734196162783</v>
      </c>
    </row>
    <row r="32" spans="2:17" x14ac:dyDescent="0.25">
      <c r="B32" s="6" t="str">
        <f ca="1">[1]Contract!E31</f>
        <v>DI1Jul 31</v>
      </c>
      <c r="C32" s="7" t="str">
        <f ca="1">[1]Contract!F31</f>
        <v>DI1N31</v>
      </c>
      <c r="D32" s="6" t="str">
        <f ca="1">RTD("tt.rtd",,"Inst",$F$1,$C32)</f>
        <v>2708352484623619068</v>
      </c>
      <c r="E32" s="7">
        <f ca="1">RTD("tt.rtd",,$D32,E$3)</f>
        <v>0</v>
      </c>
      <c r="F32" s="6" t="str">
        <f ca="1">RTD("tt.rtd",,$D32,F$3)</f>
        <v>N/A</v>
      </c>
      <c r="G32" s="7" t="str">
        <f ca="1">RTD("tt.rtd",,$D32,G$3)</f>
        <v>N/A</v>
      </c>
      <c r="H32" s="6">
        <f ca="1">RTD("tt.rtd",,$D32,H$3)</f>
        <v>0</v>
      </c>
      <c r="I32" s="7" t="str">
        <f ca="1">RTD("tt.rtd",,$D32,I$3)</f>
        <v>13.333</v>
      </c>
      <c r="J32" s="8">
        <f ca="1">[1]Contract!C31</f>
        <v>48030</v>
      </c>
      <c r="K32" s="7">
        <f ca="1">NETWORKDAYS($B$1,$J32,[1]Contract!$O$3:$O$1266)-1</f>
        <v>1301</v>
      </c>
      <c r="L32" s="15" t="str">
        <f t="shared" ca="1" si="4"/>
        <v/>
      </c>
      <c r="M32" s="7"/>
      <c r="N32" s="6">
        <f t="shared" ca="1" si="0"/>
        <v>1.9082076055125479</v>
      </c>
      <c r="O32" s="10">
        <f t="shared" ca="1" si="1"/>
        <v>52405.199366732333</v>
      </c>
      <c r="P32" s="11">
        <f ca="1">((100000/(1+I32/100)^(K32/252))-((100000/(1+(I32+0.01)/100)^(K32/252))))/5.2</f>
        <v>4.589584134071349</v>
      </c>
      <c r="Q32" s="6">
        <f t="shared" ca="1" si="3"/>
        <v>2.4014100208150921</v>
      </c>
    </row>
    <row r="33" spans="2:17" x14ac:dyDescent="0.25">
      <c r="B33" s="13" t="str">
        <f ca="1">[1]Contract!E32</f>
        <v>DI1Jan 32</v>
      </c>
      <c r="C33" s="1" t="str">
        <f ca="1">[1]Contract!F32</f>
        <v>DI1F32</v>
      </c>
      <c r="D33" s="13" t="str">
        <f ca="1">RTD("tt.rtd",,"Inst",$F$1,$C33)</f>
        <v>15346196232291796739</v>
      </c>
      <c r="E33" s="1">
        <f ca="1">RTD("tt.rtd",,$D33,E$3)</f>
        <v>0</v>
      </c>
      <c r="F33" s="13" t="str">
        <f ca="1">RTD("tt.rtd",,$D33,F$3)</f>
        <v>N/A</v>
      </c>
      <c r="G33" s="1" t="str">
        <f ca="1">RTD("tt.rtd",,$D33,G$3)</f>
        <v>N/A</v>
      </c>
      <c r="H33" s="13">
        <f ca="1">RTD("tt.rtd",,$D33,H$3)</f>
        <v>0</v>
      </c>
      <c r="I33" s="1" t="str">
        <f ca="1">RTD("tt.rtd",,$D33,I$3)</f>
        <v>13.378</v>
      </c>
      <c r="J33" s="14">
        <f ca="1">[1]Contract!C32</f>
        <v>48215</v>
      </c>
      <c r="K33" s="1">
        <f ca="1">NETWORKDAYS($B$1,$J33,[1]Contract!$O$3:$O$1266)-1</f>
        <v>1431</v>
      </c>
      <c r="L33" s="15" t="str">
        <f t="shared" ca="1" si="4"/>
        <v/>
      </c>
      <c r="N33" s="13">
        <f t="shared" ca="1" si="0"/>
        <v>2.0400726741239144</v>
      </c>
      <c r="O33" s="16">
        <f t="shared" ca="1" si="1"/>
        <v>49017.861602868557</v>
      </c>
      <c r="P33" s="17">
        <f t="shared" ca="1" si="2"/>
        <v>4.7199067405255422</v>
      </c>
      <c r="Q33" s="13">
        <f t="shared" ca="1" si="3"/>
        <v>2.1690085121372249</v>
      </c>
    </row>
    <row r="34" spans="2:17" x14ac:dyDescent="0.25">
      <c r="B34" s="13" t="str">
        <f ca="1">[1]Contract!E33</f>
        <v>DI1Jan 33</v>
      </c>
      <c r="C34" s="1" t="str">
        <f ca="1">[1]Contract!F33</f>
        <v>DI1F33</v>
      </c>
      <c r="D34" s="13" t="str">
        <f ca="1">RTD("tt.rtd",,"Inst",$F$1,$C34)</f>
        <v>16049534290115909079</v>
      </c>
      <c r="E34" s="1">
        <f ca="1">RTD("tt.rtd",,$D34,E$3)</f>
        <v>9</v>
      </c>
      <c r="F34" s="13" t="str">
        <f ca="1">RTD("tt.rtd",,$D34,F$3)</f>
        <v>13.355</v>
      </c>
      <c r="G34" s="1" t="str">
        <f ca="1">RTD("tt.rtd",,$D34,G$3)</f>
        <v>13.415</v>
      </c>
      <c r="H34" s="13">
        <f ca="1">RTD("tt.rtd",,$D34,H$3)</f>
        <v>26</v>
      </c>
      <c r="I34" s="1" t="str">
        <f ca="1">RTD("tt.rtd",,$D34,I$3)</f>
        <v>13.423</v>
      </c>
      <c r="J34" s="14">
        <f ca="1">[1]Contract!C33</f>
        <v>48582</v>
      </c>
      <c r="K34" s="1">
        <f ca="1">NETWORKDAYS($B$1,$J34,[1]Contract!$O$3:$O$1266)-1</f>
        <v>1683</v>
      </c>
      <c r="L34" s="15">
        <f t="shared" ca="1" si="4"/>
        <v>13.370428571428572</v>
      </c>
      <c r="N34" s="13">
        <f t="shared" ca="1" si="0"/>
        <v>2.3191316570375213</v>
      </c>
      <c r="O34" s="16">
        <f t="shared" ca="1" si="1"/>
        <v>43119.587323360873</v>
      </c>
      <c r="P34" s="17">
        <f t="shared" ca="1" si="2"/>
        <v>4.8809763616708759</v>
      </c>
      <c r="Q34" s="13">
        <f t="shared" ca="1" si="3"/>
        <v>1.8401472990226466</v>
      </c>
    </row>
    <row r="35" spans="2:17" x14ac:dyDescent="0.25">
      <c r="B35" s="13" t="str">
        <f ca="1">[1]Contract!E34</f>
        <v>DI1Jan 34</v>
      </c>
      <c r="C35" s="1" t="str">
        <f ca="1">[1]Contract!F34</f>
        <v>DI1F34</v>
      </c>
      <c r="D35" s="13" t="str">
        <f ca="1">RTD("tt.rtd",,"Inst",$F$1,$C35)</f>
        <v>10009254566921457783</v>
      </c>
      <c r="E35" s="1">
        <f ca="1">RTD("tt.rtd",,$D35,E$3)</f>
        <v>0</v>
      </c>
      <c r="F35" s="13" t="str">
        <f ca="1">RTD("tt.rtd",,$D35,F$3)</f>
        <v>N/A</v>
      </c>
      <c r="G35" s="1" t="str">
        <f ca="1">RTD("tt.rtd",,$D35,G$3)</f>
        <v>N/A</v>
      </c>
      <c r="H35" s="13">
        <f ca="1">RTD("tt.rtd",,$D35,H$3)</f>
        <v>0</v>
      </c>
      <c r="I35" s="1" t="str">
        <f ca="1">RTD("tt.rtd",,$D35,I$3)</f>
        <v>13.441</v>
      </c>
      <c r="J35" s="14">
        <f ca="1">[1]Contract!C34</f>
        <v>48946</v>
      </c>
      <c r="K35" s="1">
        <f ca="1">NETWORKDAYS($B$1,$J35,[1]Contract!$O$3:$O$1266)-1</f>
        <v>1934</v>
      </c>
      <c r="L35" s="15" t="str">
        <f t="shared" ca="1" si="4"/>
        <v/>
      </c>
      <c r="N35" s="13">
        <f t="shared" ca="1" si="0"/>
        <v>2.6323181038911625</v>
      </c>
      <c r="O35" s="16">
        <f t="shared" ca="1" si="1"/>
        <v>37989.32957691449</v>
      </c>
      <c r="P35" s="17">
        <f t="shared" ca="1" si="2"/>
        <v>4.9405822733723861</v>
      </c>
      <c r="Q35" s="13">
        <f t="shared" ca="1" si="3"/>
        <v>1.5973012324247975</v>
      </c>
    </row>
    <row r="36" spans="2:17" x14ac:dyDescent="0.25">
      <c r="B36" s="13" t="str">
        <f ca="1">[1]Contract!E35</f>
        <v>DI1Jan 35</v>
      </c>
      <c r="C36" s="1" t="str">
        <f ca="1">[1]Contract!F35</f>
        <v>DI1F35</v>
      </c>
      <c r="D36" s="13" t="str">
        <f ca="1">RTD("tt.rtd",,"Inst",$F$1,$C36)</f>
        <v>6962089539273648642</v>
      </c>
      <c r="E36" s="1">
        <f ca="1">RTD("tt.rtd",,$D36,E$3)</f>
        <v>102</v>
      </c>
      <c r="F36" s="13" t="str">
        <f ca="1">RTD("tt.rtd",,$D36,F$3)</f>
        <v>13.400</v>
      </c>
      <c r="G36" s="1" t="str">
        <f ca="1">RTD("tt.rtd",,$D36,G$3)</f>
        <v>13.455</v>
      </c>
      <c r="H36" s="13">
        <f ca="1">RTD("tt.rtd",,$D36,H$3)</f>
        <v>5</v>
      </c>
      <c r="I36" s="1" t="str">
        <f ca="1">RTD("tt.rtd",,$D36,I$3)</f>
        <v>13.443</v>
      </c>
      <c r="J36" s="14">
        <f ca="1">[1]Contract!C35</f>
        <v>49311</v>
      </c>
      <c r="K36" s="1">
        <f ca="1">NETWORKDAYS($B$1,$J36,[1]Contract!$O$3:$O$1266)-1</f>
        <v>2182</v>
      </c>
      <c r="L36" s="15">
        <f t="shared" ca="1" si="4"/>
        <v>13.452429906542056</v>
      </c>
      <c r="N36" s="13">
        <f t="shared" ca="1" si="0"/>
        <v>2.9806113315112595</v>
      </c>
      <c r="O36" s="16">
        <f t="shared" ca="1" si="1"/>
        <v>33550.164338030947</v>
      </c>
      <c r="P36" s="17">
        <f t="shared" ca="1" si="2"/>
        <v>4.9224685085531608</v>
      </c>
      <c r="Q36" s="13">
        <f t="shared" ca="1" si="3"/>
        <v>1.4083058446922223</v>
      </c>
    </row>
    <row r="37" spans="2:17" x14ac:dyDescent="0.25">
      <c r="B37" s="19" t="str">
        <f ca="1">[1]Contract!E36</f>
        <v>DI1Jan 36</v>
      </c>
      <c r="C37" s="20" t="str">
        <f ca="1">[1]Contract!F36</f>
        <v>DI1F36</v>
      </c>
      <c r="D37" s="19" t="str">
        <f ca="1">RTD("tt.rtd",,"Inst",$F$1,$C37)</f>
        <v>6444576488533873261</v>
      </c>
      <c r="E37" s="20">
        <f ca="1">RTD("tt.rtd",,$D37,E$3)</f>
        <v>0</v>
      </c>
      <c r="F37" s="19" t="str">
        <f ca="1">RTD("tt.rtd",,$D37,F$3)</f>
        <v>N/A</v>
      </c>
      <c r="G37" s="20" t="str">
        <f ca="1">RTD("tt.rtd",,$D37,G$3)</f>
        <v>N/A</v>
      </c>
      <c r="H37" s="19">
        <f ca="1">RTD("tt.rtd",,$D37,H$3)</f>
        <v>0</v>
      </c>
      <c r="I37" s="20" t="str">
        <f ca="1">RTD("tt.rtd",,$D37,I$3)</f>
        <v>13.437</v>
      </c>
      <c r="J37" s="21">
        <f ca="1">[1]Contract!C36</f>
        <v>49676</v>
      </c>
      <c r="K37" s="20">
        <f ca="1">NETWORKDAYS($B$1,$J37,[1]Contract!$O$3:$O$1266)-1</f>
        <v>2431</v>
      </c>
      <c r="L37" s="15" t="str">
        <f t="shared" ca="1" si="4"/>
        <v/>
      </c>
      <c r="M37" s="20"/>
      <c r="N37" s="19">
        <f t="shared" ca="1" si="0"/>
        <v>3.3744993106021552</v>
      </c>
      <c r="O37" s="22">
        <f t="shared" ca="1" si="1"/>
        <v>29634.025908914977</v>
      </c>
      <c r="P37" s="23">
        <f t="shared" ca="1" si="2"/>
        <v>4.8441012587136356</v>
      </c>
      <c r="Q37" s="19">
        <f t="shared" ca="1" si="3"/>
        <v>1.2501382041118632</v>
      </c>
    </row>
    <row r="38" spans="2:17" x14ac:dyDescent="0.25">
      <c r="B38" s="13" t="str">
        <f ca="1">[1]Contract!E37</f>
        <v>DI1Jan 37</v>
      </c>
      <c r="C38" s="1" t="str">
        <f ca="1">[1]Contract!F37</f>
        <v>DI1F37</v>
      </c>
      <c r="D38" s="13" t="str">
        <f ca="1">RTD("tt.rtd",,"Inst",$F$1,$C38)</f>
        <v>13659944186236004212</v>
      </c>
      <c r="E38" s="1">
        <f ca="1">RTD("tt.rtd",,$D38,E$3)</f>
        <v>100</v>
      </c>
      <c r="F38" s="13" t="str">
        <f ca="1">RTD("tt.rtd",,$D38,F$3)</f>
        <v>13.430</v>
      </c>
      <c r="G38" s="1" t="str">
        <f ca="1">RTD("tt.rtd",,$D38,G$3)</f>
        <v>13.600</v>
      </c>
      <c r="H38" s="13">
        <f ca="1">RTD("tt.rtd",,$D38,H$3)</f>
        <v>1</v>
      </c>
      <c r="I38" s="1" t="str">
        <f ca="1">RTD("tt.rtd",,$D38,I$3)</f>
        <v>13.460</v>
      </c>
      <c r="J38" s="14">
        <f ca="1">[1]Contract!C37</f>
        <v>50042</v>
      </c>
      <c r="K38" s="1">
        <f ca="1">NETWORKDAYS($B$1,$J38,[1]Contract!$O$3:$O$1266)-1</f>
        <v>2684</v>
      </c>
      <c r="L38" s="15">
        <f t="shared" ca="1" si="4"/>
        <v>13.598316831683169</v>
      </c>
      <c r="N38" s="6">
        <f t="shared" ca="1" si="0"/>
        <v>3.838125089034456</v>
      </c>
      <c r="O38" s="16">
        <f t="shared" ca="1" si="1"/>
        <v>26054.387931675425</v>
      </c>
      <c r="P38" s="11">
        <f t="shared" ca="1" si="2"/>
        <v>4.7010380687753726</v>
      </c>
      <c r="Q38" s="6">
        <f t="shared" ca="1" si="3"/>
        <v>1.0781775535833731</v>
      </c>
    </row>
    <row r="39" spans="2:17" x14ac:dyDescent="0.25">
      <c r="B39" s="13" t="str">
        <f ca="1">[1]Contract!E38</f>
        <v>DI1Jan 38</v>
      </c>
      <c r="C39" s="1" t="str">
        <f ca="1">[1]Contract!F38</f>
        <v>DI1F38</v>
      </c>
      <c r="D39" s="13" t="str">
        <f ca="1">RTD("tt.rtd",,"Inst",$F$1,$C39)</f>
        <v>3740716625392523611</v>
      </c>
      <c r="E39" s="1">
        <f ca="1">RTD("tt.rtd",,$D39,E$3)</f>
        <v>0</v>
      </c>
      <c r="F39" s="13" t="str">
        <f ca="1">RTD("tt.rtd",,$D39,F$3)</f>
        <v>N/A</v>
      </c>
      <c r="G39" s="1" t="str">
        <f ca="1">RTD("tt.rtd",,$D39,G$3)</f>
        <v>N/A</v>
      </c>
      <c r="H39" s="13">
        <f ca="1">RTD("tt.rtd",,$D39,H$3)</f>
        <v>0</v>
      </c>
      <c r="I39" s="1" t="str">
        <f ca="1">RTD("tt.rtd",,$D39,I$3)</f>
        <v>13.450</v>
      </c>
      <c r="J39" s="14">
        <f ca="1">[1]Contract!C38</f>
        <v>50409</v>
      </c>
      <c r="K39" s="1">
        <f ca="1">NETWORKDAYS($B$1,$J39,[1]Contract!$O$3:$O$1266)-1</f>
        <v>2933</v>
      </c>
      <c r="L39" s="15" t="str">
        <f t="shared" ca="1" si="4"/>
        <v/>
      </c>
      <c r="N39" s="13">
        <f t="shared" ca="1" si="0"/>
        <v>4.3437366650345286</v>
      </c>
      <c r="O39" s="16">
        <f t="shared" ca="1" si="1"/>
        <v>23021.653408449678</v>
      </c>
      <c r="P39" s="17">
        <f t="shared" ca="1" si="2"/>
        <v>4.5393984654184836</v>
      </c>
      <c r="Q39" s="13">
        <f t="shared" ca="1" si="3"/>
        <v>0.96072565659778775</v>
      </c>
    </row>
    <row r="40" spans="2:17" x14ac:dyDescent="0.25">
      <c r="B40" s="13" t="str">
        <f ca="1">[1]Contract!E39</f>
        <v>DI1Jan 39</v>
      </c>
      <c r="C40" s="1" t="str">
        <f ca="1">[1]Contract!F39</f>
        <v>DI1F39</v>
      </c>
      <c r="D40" s="13" t="str">
        <f ca="1">RTD("tt.rtd",,"Inst",$F$1,$C40)</f>
        <v>1101190791973221236</v>
      </c>
      <c r="E40" s="1">
        <f ca="1">RTD("tt.rtd",,$D40,E$3)</f>
        <v>0</v>
      </c>
      <c r="F40" s="13" t="str">
        <f ca="1">RTD("tt.rtd",,$D40,F$3)</f>
        <v>N/A</v>
      </c>
      <c r="G40" s="1" t="str">
        <f ca="1">RTD("tt.rtd",,$D40,G$3)</f>
        <v>N/A</v>
      </c>
      <c r="H40" s="13">
        <f ca="1">RTD("tt.rtd",,$D40,H$3)</f>
        <v>0</v>
      </c>
      <c r="I40" s="1" t="str">
        <f ca="1">RTD("tt.rtd",,$D40,I$3)</f>
        <v>13.432</v>
      </c>
      <c r="J40" s="14">
        <f ca="1">[1]Contract!C39</f>
        <v>50773</v>
      </c>
      <c r="K40" s="1">
        <f ca="1">NETWORKDAYS($B$1,$J40,[1]Contract!$O$3:$O$1266)-1</f>
        <v>3184</v>
      </c>
      <c r="L40" s="15" t="str">
        <f t="shared" ca="1" si="4"/>
        <v/>
      </c>
      <c r="N40" s="13">
        <f t="shared" ca="1" si="0"/>
        <v>4.9156372805168367</v>
      </c>
      <c r="O40" s="16">
        <f t="shared" ca="1" si="1"/>
        <v>20343.242247826282</v>
      </c>
      <c r="P40" s="17">
        <f ca="1">((100000/(1+I40/100)^(K40/252))-((100000/(1+(I40+0.01)/100)^(K40/252))))/5.2</f>
        <v>4.3550462462805557</v>
      </c>
      <c r="Q40" s="13">
        <f t="shared" ca="1" si="3"/>
        <v>0.86175462264509406</v>
      </c>
    </row>
    <row r="41" spans="2:17" x14ac:dyDescent="0.25">
      <c r="B41" s="19" t="str">
        <f ca="1">[1]Contract!E40</f>
        <v>DI1Jan 40</v>
      </c>
      <c r="C41" s="20" t="str">
        <f ca="1">[1]Contract!F40</f>
        <v>DI1F40</v>
      </c>
      <c r="D41" s="19" t="str">
        <f ca="1">RTD("tt.rtd",,"Inst",$F$1,$C41)</f>
        <v>12183633319855756998</v>
      </c>
      <c r="E41" s="20">
        <f ca="1">RTD("tt.rtd",,$D41,E$3)</f>
        <v>0</v>
      </c>
      <c r="F41" s="19" t="str">
        <f ca="1">RTD("tt.rtd",,$D41,F$3)</f>
        <v>N/A</v>
      </c>
      <c r="G41" s="20" t="str">
        <f ca="1">RTD("tt.rtd",,$D41,G$3)</f>
        <v>N/A</v>
      </c>
      <c r="H41" s="19">
        <f ca="1">RTD("tt.rtd",,$D41,H$3)</f>
        <v>0</v>
      </c>
      <c r="I41" s="20" t="str">
        <f ca="1">RTD("tt.rtd",,$D41,I$3)</f>
        <v>13.415</v>
      </c>
      <c r="J41" s="21">
        <f ca="1">[1]Contract!C40</f>
        <v>51137</v>
      </c>
      <c r="K41" s="20">
        <f ca="1">NETWORKDAYS($B$1,$J41,[1]Contract!$O$3:$O$1266)-1</f>
        <v>3435</v>
      </c>
      <c r="L41" s="25" t="str">
        <f t="shared" ca="1" si="4"/>
        <v/>
      </c>
      <c r="M41" s="20"/>
      <c r="N41" s="19">
        <f t="shared" ca="1" si="0"/>
        <v>5.5617433326764267</v>
      </c>
      <c r="O41" s="22">
        <f t="shared" ca="1" si="1"/>
        <v>17979.973907188185</v>
      </c>
      <c r="P41" s="23">
        <f t="shared" ca="1" si="2"/>
        <v>4.152994227107718</v>
      </c>
      <c r="Q41" s="19">
        <f t="shared" ca="1" si="3"/>
        <v>0.77233336071731173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D26060-F3BA-4759-B806-A076E546E3B3}">
  <dimension ref="A1:AH70"/>
  <sheetViews>
    <sheetView tabSelected="1" workbookViewId="0">
      <selection activeCell="E5" sqref="E5"/>
    </sheetView>
  </sheetViews>
  <sheetFormatPr defaultRowHeight="15" x14ac:dyDescent="0.25"/>
  <cols>
    <col min="1" max="1" width="9.140625" style="1"/>
    <col min="2" max="2" width="13.85546875" style="1" bestFit="1" customWidth="1"/>
    <col min="3" max="3" width="13.85546875" style="1" customWidth="1"/>
    <col min="5" max="5" width="10" style="1" bestFit="1" customWidth="1"/>
    <col min="8" max="15" width="9.140625" style="1"/>
    <col min="16" max="16" width="14.140625" style="1" bestFit="1" customWidth="1"/>
    <col min="17" max="17" width="14.140625" style="1" customWidth="1"/>
    <col min="18" max="33" width="9.140625" style="1"/>
    <col min="34" max="34" width="14.140625" style="1" bestFit="1" customWidth="1"/>
    <col min="35" max="16384" width="9.140625" style="1"/>
  </cols>
  <sheetData>
    <row r="1" spans="1:34" x14ac:dyDescent="0.25">
      <c r="A1" s="35" t="str">
        <f t="shared" ref="A1:A14" si="0">_xlfn.CONCAT(AG1,"4S")</f>
        <v>DI1F274S</v>
      </c>
      <c r="B1" s="28">
        <f ca="1">IFERROR((VLOOKUP(RIGHT(AH1,6),[1]Contract!$F$3:$I$40,4,0)-VLOOKUP(LEFT(AH1,6),[1]Contract!$F$3:$I$40,4,0))*100,"")</f>
        <v>-61.006796663596141</v>
      </c>
      <c r="C1" s="28">
        <f ca="1">(VLOOKUP(RIGHT(AH1,6),Contract!$F$3:$H$40,2,0)-VLOOKUP(LEFT(AH1,6),Contract!$F$3:$H$40,2,0))*100</f>
        <v>-60.9</v>
      </c>
      <c r="D1" s="56" t="str">
        <f t="shared" ref="D1:D14" si="1">_xlfn.CONCAT(AG1,"4")</f>
        <v>DI1F274</v>
      </c>
      <c r="E1" s="27">
        <f ca="1">IFERROR(B1-B2,"")</f>
        <v>-41.733996763782422</v>
      </c>
      <c r="F1" s="57">
        <f ca="1">C1-C2</f>
        <v>-42.999999999999972</v>
      </c>
      <c r="G1" s="55"/>
      <c r="H1" s="35" t="str">
        <f t="shared" ref="H1:H12" si="2">_xlfn.CONCAT(AG16,"8S")</f>
        <v>DI1F278S</v>
      </c>
      <c r="I1" s="29">
        <f ca="1">IFERROR((VLOOKUP(RIGHT(AH16,6),[1]Contract!$F$3:$I$40,4,0)-VLOOKUP(LEFT(AH16,6),[1]Contract!$F$3:$I$40,4,0))*100,"")</f>
        <v>-80.279596563409854</v>
      </c>
      <c r="J1" s="29">
        <f ca="1">(VLOOKUP(RIGHT(AH16,6),Contract!$F$3:$H$40,2,0)-VLOOKUP(LEFT(AH16,6),Contract!$F$3:$H$40,2,0))*100</f>
        <v>-78.800000000000026</v>
      </c>
      <c r="K1" s="56" t="str">
        <f t="shared" ref="K1:K12" si="3">_xlfn.CONCAT(AG16,"8S")</f>
        <v>DI1F278S</v>
      </c>
      <c r="L1" s="29">
        <f t="shared" ref="L1:L10" ca="1" si="4">IFERROR(I1-I3,"")</f>
        <v>-89.9695744754533</v>
      </c>
      <c r="M1" s="61">
        <f ca="1">J1-J2</f>
        <v>-65.100000000000165</v>
      </c>
      <c r="O1" s="35" t="str">
        <f t="shared" ref="O1:O10" si="5">_xlfn.CONCAT(AG30,"2S")</f>
        <v>DI1F272S</v>
      </c>
      <c r="P1" s="29">
        <f ca="1">IFERROR((VLOOKUP(RIGHT(AH30,6),[1]Contract!$F$3:$I$40,4,0)-VLOOKUP(LEFT(AH30,6),[1]Contract!$F$3:$I$40,4,0))*100,"")</f>
        <v>-34.957696827262197</v>
      </c>
      <c r="Q1" s="29">
        <f ca="1">(VLOOKUP(RIGHT(AH30,6),Contract!$F$3:$H$40,2,0)-VLOOKUP(LEFT(AH30,6),Contract!$F$3:$H$40,2,0))*100</f>
        <v>-33.900000000000041</v>
      </c>
      <c r="R1" s="7" t="str">
        <f t="shared" ref="R1:R10" si="6">_xlfn.CONCAT(AG30,"2")</f>
        <v>DI1F272</v>
      </c>
      <c r="S1" s="29">
        <f t="shared" ref="S1:S9" ca="1" si="7">IFERROR(P1-P2,"")</f>
        <v>-8.9085969909282525</v>
      </c>
      <c r="T1" s="61">
        <f ca="1">Q1-Q2</f>
        <v>-6.9000000000000838</v>
      </c>
      <c r="V1" s="35" t="str">
        <f t="shared" ref="V1:V16" ca="1" si="8">_xlfn.CONCAT(AG42,"1S")</f>
        <v>DI1J271S</v>
      </c>
      <c r="W1" s="28">
        <f ca="1">IFERROR((VLOOKUP(RIGHT(AH42,6),[1]Contract!$F$3:$I$40,4,0)-VLOOKUP(LEFT(AH42,6),[1]Contract!$F$3:$I$40,4,0))*100,"")</f>
        <v>-17.750000000000199</v>
      </c>
      <c r="X1" s="28">
        <f ca="1">(VLOOKUP(RIGHT(AH42,6),Contract!$F$3:$H$40,2,0)-VLOOKUP(LEFT(AH42,6),Contract!$F$3:$H$40,2,0))*100</f>
        <v>-17.800000000000082</v>
      </c>
      <c r="Y1" s="7" t="str">
        <f t="shared" ref="Y1:Y16" ca="1" si="9">_xlfn.CONCAT(AG42,"1")</f>
        <v>DI1J271</v>
      </c>
      <c r="Z1" s="29">
        <f t="shared" ref="Z1:Z15" ca="1" si="10">IFERROR(W1-W2,"")</f>
        <v>-1.5277777777781054</v>
      </c>
      <c r="AA1" s="64">
        <f ca="1">X1-X2</f>
        <v>-3.9000000000001478</v>
      </c>
      <c r="AG1" s="1" t="s">
        <v>18</v>
      </c>
      <c r="AH1" s="11" t="str">
        <f>_xlfn.CONCAT(AG1,"-",AG2)</f>
        <v>DI1F27-DI1F28</v>
      </c>
    </row>
    <row r="2" spans="1:34" x14ac:dyDescent="0.25">
      <c r="A2" s="31" t="str">
        <f t="shared" si="0"/>
        <v>DI1F284S</v>
      </c>
      <c r="B2" s="26">
        <f ca="1">IFERROR((VLOOKUP(RIGHT(AH2,6),[1]Contract!$F$3:$I$40,4,0)-VLOOKUP(LEFT(AH2,6),[1]Contract!$F$3:$I$40,4,0))*100,"")</f>
        <v>-19.27279989981372</v>
      </c>
      <c r="C2" s="26">
        <f ca="1">(VLOOKUP(RIGHT(AH2,6),Contract!$F$3:$H$40,2,0)-VLOOKUP(LEFT(AH2,6),Contract!$F$3:$H$40,2,0))*100</f>
        <v>-17.900000000000027</v>
      </c>
      <c r="D2" t="str">
        <f t="shared" si="1"/>
        <v>DI1F284</v>
      </c>
      <c r="E2" s="27">
        <f t="shared" ref="E1:E12" ca="1" si="11">IFERROR(B2-B3,"")</f>
        <v>-22.633915322236042</v>
      </c>
      <c r="F2" s="58">
        <f t="shared" ref="F2:F12" ca="1" si="12">C2-C3</f>
        <v>-22.100000000000186</v>
      </c>
      <c r="G2" s="55"/>
      <c r="H2" s="31" t="str">
        <f t="shared" si="2"/>
        <v>DI1F288S</v>
      </c>
      <c r="I2" s="27">
        <f ca="1">IFERROR((VLOOKUP(RIGHT(AH17,6),[1]Contract!$F$3:$I$40,4,0)-VLOOKUP(LEFT(AH17,6),[1]Contract!$F$3:$I$40,4,0))*100,"")</f>
        <v>-15.911684477391397</v>
      </c>
      <c r="J2" s="27">
        <f ca="1">(VLOOKUP(RIGHT(AH17,6),Contract!$F$3:$H$40,2,0)-VLOOKUP(LEFT(AH17,6),Contract!$F$3:$H$40,2,0))*100</f>
        <v>-13.699999999999868</v>
      </c>
      <c r="K2" t="str">
        <f t="shared" si="3"/>
        <v>DI1F288S</v>
      </c>
      <c r="L2" s="27" t="str">
        <f t="shared" ca="1" si="4"/>
        <v/>
      </c>
      <c r="M2" s="62">
        <f t="shared" ref="M2:M12" ca="1" si="13">J2-J3</f>
        <v>-23.499999999999943</v>
      </c>
      <c r="O2" s="31" t="str">
        <f t="shared" si="5"/>
        <v>DI1N272S</v>
      </c>
      <c r="P2" s="27">
        <f ca="1">IFERROR((VLOOKUP(RIGHT(AH31,6),[1]Contract!$F$3:$I$40,4,0)-VLOOKUP(LEFT(AH31,6),[1]Contract!$F$3:$I$40,4,0))*100,"")</f>
        <v>-26.049099836333944</v>
      </c>
      <c r="Q2" s="27">
        <f ca="1">(VLOOKUP(RIGHT(AH31,6),Contract!$F$3:$H$40,2,0)-VLOOKUP(LEFT(AH31,6),Contract!$F$3:$H$40,2,0))*100</f>
        <v>-26.999999999999957</v>
      </c>
      <c r="R2" s="1" t="str">
        <f t="shared" si="6"/>
        <v>DI1N272</v>
      </c>
      <c r="S2" s="27">
        <f t="shared" ca="1" si="7"/>
        <v>-11.675664461400359</v>
      </c>
      <c r="T2" s="62">
        <f t="shared" ref="T2:T10" ca="1" si="14">Q2-Q3</f>
        <v>-13.700000000000045</v>
      </c>
      <c r="V2" s="31" t="str">
        <f t="shared" ca="1" si="8"/>
        <v>DI1N271S</v>
      </c>
      <c r="W2" s="26">
        <f ca="1">IFERROR((VLOOKUP(RIGHT(AH43,6),[1]Contract!$F$3:$I$40,4,0)-VLOOKUP(LEFT(AH43,6),[1]Contract!$F$3:$I$40,4,0))*100,"")</f>
        <v>-16.222222222222094</v>
      </c>
      <c r="X2" s="26">
        <f ca="1">(VLOOKUP(RIGHT(AH43,6),Contract!$F$3:$H$40,2,0)-VLOOKUP(LEFT(AH43,6),Contract!$F$3:$H$40,2,0))*100</f>
        <v>-13.899999999999935</v>
      </c>
      <c r="Y2" s="1" t="str">
        <f t="shared" ca="1" si="9"/>
        <v>DI1N271</v>
      </c>
      <c r="Z2" s="27">
        <f t="shared" ca="1" si="10"/>
        <v>-6.3953446081102427</v>
      </c>
      <c r="AA2" s="65">
        <f t="shared" ref="AA2:AA16" ca="1" si="15">X2-X3</f>
        <v>-0.79999999999991189</v>
      </c>
      <c r="AG2" s="1" t="s">
        <v>19</v>
      </c>
      <c r="AH2" s="17" t="str">
        <f t="shared" ref="AH2:AH13" si="16">_xlfn.CONCAT(AG2,"-",AG3)</f>
        <v>DI1F28-DI1F29</v>
      </c>
    </row>
    <row r="3" spans="1:34" x14ac:dyDescent="0.25">
      <c r="A3" s="31" t="str">
        <f t="shared" si="0"/>
        <v>DI1F294S</v>
      </c>
      <c r="B3" s="26">
        <f ca="1">IFERROR((VLOOKUP(RIGHT(AH3,6),[1]Contract!$F$3:$I$40,4,0)-VLOOKUP(LEFT(AH3,6),[1]Contract!$F$3:$I$40,4,0))*100,"")</f>
        <v>3.3611154224223228</v>
      </c>
      <c r="C3" s="26">
        <f ca="1">(VLOOKUP(RIGHT(AH3,6),Contract!$F$3:$H$40,2,0)-VLOOKUP(LEFT(AH3,6),Contract!$F$3:$H$40,2,0))*100</f>
        <v>4.2000000000001592</v>
      </c>
      <c r="D3" t="str">
        <f t="shared" si="1"/>
        <v>DI1F294</v>
      </c>
      <c r="E3" s="27">
        <f t="shared" ca="1" si="11"/>
        <v>-2.9677470671988004</v>
      </c>
      <c r="F3" s="58">
        <f t="shared" ca="1" si="12"/>
        <v>-1.399999999999757</v>
      </c>
      <c r="G3" s="55"/>
      <c r="H3" s="31" t="str">
        <f t="shared" si="2"/>
        <v>DI1F298S</v>
      </c>
      <c r="I3" s="27">
        <f ca="1">IFERROR((VLOOKUP(RIGHT(AH18,6),[1]Contract!$F$3:$I$40,4,0)-VLOOKUP(LEFT(AH18,6),[1]Contract!$F$3:$I$40,4,0))*100,"")</f>
        <v>9.6899779120434459</v>
      </c>
      <c r="J3" s="27">
        <f ca="1">(VLOOKUP(RIGHT(AH18,6),Contract!$F$3:$H$40,2,0)-VLOOKUP(LEFT(AH18,6),Contract!$F$3:$H$40,2,0))*100</f>
        <v>9.8000000000000753</v>
      </c>
      <c r="K3" t="str">
        <f t="shared" si="3"/>
        <v>DI1F298S</v>
      </c>
      <c r="L3" s="27">
        <f t="shared" ca="1" si="4"/>
        <v>-0.98480105491809411</v>
      </c>
      <c r="M3" s="62">
        <f t="shared" ca="1" si="13"/>
        <v>-3.7999999999998479</v>
      </c>
      <c r="O3" s="31" t="str">
        <f t="shared" si="5"/>
        <v>DI1F282S</v>
      </c>
      <c r="P3" s="27">
        <f ca="1">IFERROR((VLOOKUP(RIGHT(AH32,6),[1]Contract!$F$3:$I$40,4,0)-VLOOKUP(LEFT(AH32,6),[1]Contract!$F$3:$I$40,4,0))*100,"")</f>
        <v>-14.373435374933585</v>
      </c>
      <c r="Q3" s="27">
        <f ca="1">(VLOOKUP(RIGHT(AH32,6),Contract!$F$3:$H$40,2,0)-VLOOKUP(LEFT(AH32,6),Contract!$F$3:$H$40,2,0))*100</f>
        <v>-13.299999999999912</v>
      </c>
      <c r="R3" s="1" t="str">
        <f t="shared" si="6"/>
        <v>DI1F282</v>
      </c>
      <c r="S3" s="27">
        <f t="shared" ca="1" si="7"/>
        <v>-9.474070850053451</v>
      </c>
      <c r="T3" s="62">
        <f t="shared" ca="1" si="14"/>
        <v>-8.6999999999997968</v>
      </c>
      <c r="V3" s="31" t="str">
        <f t="shared" ca="1" si="8"/>
        <v>DI1V271S</v>
      </c>
      <c r="W3" s="26">
        <f ca="1">IFERROR((VLOOKUP(RIGHT(AH44,6),[1]Contract!$F$3:$I$40,4,0)-VLOOKUP(LEFT(AH44,6),[1]Contract!$F$3:$I$40,4,0))*100,"")</f>
        <v>-9.8268776141118508</v>
      </c>
      <c r="X3" s="26">
        <f ca="1">(VLOOKUP(RIGHT(AH44,6),Contract!$F$3:$H$40,2,0)-VLOOKUP(LEFT(AH44,6),Contract!$F$3:$H$40,2,0))*100</f>
        <v>-13.100000000000023</v>
      </c>
      <c r="Y3" s="1" t="str">
        <f t="shared" ca="1" si="9"/>
        <v>DI1V271</v>
      </c>
      <c r="Z3" s="27">
        <f t="shared" ca="1" si="10"/>
        <v>-0.37597745044575248</v>
      </c>
      <c r="AA3" s="65">
        <f t="shared" ca="1" si="15"/>
        <v>-5.3000000000000824</v>
      </c>
      <c r="AG3" s="1" t="s">
        <v>20</v>
      </c>
      <c r="AH3" s="17" t="str">
        <f t="shared" si="16"/>
        <v>DI1F29-DI1F30</v>
      </c>
    </row>
    <row r="4" spans="1:34" x14ac:dyDescent="0.25">
      <c r="A4" s="31" t="str">
        <f t="shared" si="0"/>
        <v>DI1F304S</v>
      </c>
      <c r="B4" s="26">
        <f ca="1">IFERROR((VLOOKUP(RIGHT(AH4,6),[1]Contract!$F$3:$I$40,4,0)-VLOOKUP(LEFT(AH4,6),[1]Contract!$F$3:$I$40,4,0))*100,"")</f>
        <v>6.3288624896211232</v>
      </c>
      <c r="C4" s="26">
        <f ca="1">(VLOOKUP(RIGHT(AH4,6),Contract!$F$3:$H$40,2,0)-VLOOKUP(LEFT(AH4,6),Contract!$F$3:$H$40,2,0))*100</f>
        <v>5.5999999999999162</v>
      </c>
      <c r="D4" t="str">
        <f t="shared" si="1"/>
        <v>DI1F304</v>
      </c>
      <c r="E4" s="27" t="str">
        <f t="shared" ca="1" si="11"/>
        <v/>
      </c>
      <c r="F4" s="58">
        <f t="shared" ca="1" si="12"/>
        <v>-2.4000000000000909</v>
      </c>
      <c r="G4" s="55"/>
      <c r="H4" s="31" t="str">
        <f t="shared" si="2"/>
        <v>DI1F308S</v>
      </c>
      <c r="I4" s="27" t="str">
        <f ca="1">IFERROR((VLOOKUP(RIGHT(AH19,6),[1]Contract!$F$3:$I$40,4,0)-VLOOKUP(LEFT(AH19,6),[1]Contract!$F$3:$I$40,4,0))*100,"")</f>
        <v/>
      </c>
      <c r="J4" s="27">
        <f ca="1">(VLOOKUP(RIGHT(AH19,6),Contract!$F$3:$H$40,2,0)-VLOOKUP(LEFT(AH19,6),Contract!$F$3:$H$40,2,0))*100</f>
        <v>13.599999999999923</v>
      </c>
      <c r="K4" t="str">
        <f t="shared" si="3"/>
        <v>DI1F308S</v>
      </c>
      <c r="L4" s="27" t="str">
        <f t="shared" ca="1" si="4"/>
        <v/>
      </c>
      <c r="M4" s="62">
        <f t="shared" ca="1" si="13"/>
        <v>1.0999999999999233</v>
      </c>
      <c r="O4" s="31" t="str">
        <f t="shared" si="5"/>
        <v>DI1N282S</v>
      </c>
      <c r="P4" s="27">
        <f ca="1">IFERROR((VLOOKUP(RIGHT(AH33,6),[1]Contract!$F$3:$I$40,4,0)-VLOOKUP(LEFT(AH33,6),[1]Contract!$F$3:$I$40,4,0))*100,"")</f>
        <v>-4.8993645248801343</v>
      </c>
      <c r="Q4" s="27">
        <f ca="1">(VLOOKUP(RIGHT(AH33,6),Contract!$F$3:$H$40,2,0)-VLOOKUP(LEFT(AH33,6),Contract!$F$3:$H$40,2,0))*100</f>
        <v>-4.6000000000001151</v>
      </c>
      <c r="R4" s="1" t="str">
        <f t="shared" si="6"/>
        <v>DI1N282</v>
      </c>
      <c r="S4" s="27">
        <f t="shared" ca="1" si="7"/>
        <v>-6.4712642610279758</v>
      </c>
      <c r="T4" s="62">
        <f t="shared" ca="1" si="14"/>
        <v>-6.7000000000001947</v>
      </c>
      <c r="V4" s="31" t="str">
        <f t="shared" ca="1" si="8"/>
        <v>DI1F281S</v>
      </c>
      <c r="W4" s="26">
        <f ca="1">IFERROR((VLOOKUP(RIGHT(AH45,6),[1]Contract!$F$3:$I$40,4,0)-VLOOKUP(LEFT(AH45,6),[1]Contract!$F$3:$I$40,4,0))*100,"")</f>
        <v>-9.4509001636660983</v>
      </c>
      <c r="X4" s="26">
        <f ca="1">(VLOOKUP(RIGHT(AH45,6),Contract!$F$3:$H$40,2,0)-VLOOKUP(LEFT(AH45,6),Contract!$F$3:$H$40,2,0))*100</f>
        <v>-7.7999999999999403</v>
      </c>
      <c r="Y4" s="1" t="str">
        <f t="shared" ca="1" si="9"/>
        <v>DI1F281</v>
      </c>
      <c r="Z4" s="27">
        <f t="shared" ca="1" si="10"/>
        <v>-4.5283649523986114</v>
      </c>
      <c r="AA4" s="65">
        <f t="shared" ca="1" si="15"/>
        <v>-2.2999999999999687</v>
      </c>
      <c r="AG4" s="1" t="s">
        <v>21</v>
      </c>
      <c r="AH4" s="30" t="str">
        <f t="shared" si="16"/>
        <v>DI1F30-DI1F31</v>
      </c>
    </row>
    <row r="5" spans="1:34" x14ac:dyDescent="0.25">
      <c r="A5" s="31" t="str">
        <f t="shared" si="0"/>
        <v>DI1F314S</v>
      </c>
      <c r="B5" s="26" t="str">
        <f ca="1">IFERROR((VLOOKUP(RIGHT(AH5,6),[1]Contract!$F$3:$I$40,4,0)-VLOOKUP(LEFT(AH5,6),[1]Contract!$F$3:$I$40,4,0))*100,"")</f>
        <v/>
      </c>
      <c r="C5" s="26">
        <f ca="1">(VLOOKUP(RIGHT(AH5,6),Contract!$F$3:$H$40,2,0)-VLOOKUP(LEFT(AH5,6),Contract!$F$3:$H$40,2,0))*100</f>
        <v>8.0000000000000071</v>
      </c>
      <c r="D5" t="str">
        <f t="shared" si="1"/>
        <v>DI1F314</v>
      </c>
      <c r="E5" s="27" t="str">
        <f t="shared" ca="1" si="11"/>
        <v/>
      </c>
      <c r="F5" s="58">
        <f t="shared" ca="1" si="12"/>
        <v>3.5000000000000142</v>
      </c>
      <c r="G5" s="55"/>
      <c r="H5" s="31" t="str">
        <f t="shared" si="2"/>
        <v>DI1F318S</v>
      </c>
      <c r="I5" s="27">
        <f ca="1">IFERROR((VLOOKUP(RIGHT(AH20,6),[1]Contract!$F$3:$I$40,4,0)-VLOOKUP(LEFT(AH20,6),[1]Contract!$F$3:$I$40,4,0))*100,"")</f>
        <v>10.67477896696154</v>
      </c>
      <c r="J5" s="27">
        <f ca="1">(VLOOKUP(RIGHT(AH20,6),Contract!$F$3:$H$40,2,0)-VLOOKUP(LEFT(AH20,6),Contract!$F$3:$H$40,2,0))*100</f>
        <v>12.5</v>
      </c>
      <c r="K5" t="str">
        <f t="shared" si="3"/>
        <v>DI1F318S</v>
      </c>
      <c r="L5" s="27">
        <f t="shared" ca="1" si="4"/>
        <v>2.4746454556131781</v>
      </c>
      <c r="M5" s="62">
        <f t="shared" ca="1" si="13"/>
        <v>6.1999999999999389</v>
      </c>
      <c r="O5" s="31" t="str">
        <f t="shared" si="5"/>
        <v>DI1F292S</v>
      </c>
      <c r="P5" s="27">
        <f ca="1">IFERROR((VLOOKUP(RIGHT(AH34,6),[1]Contract!$F$3:$I$40,4,0)-VLOOKUP(LEFT(AH34,6),[1]Contract!$F$3:$I$40,4,0))*100,"")</f>
        <v>1.5718997361478415</v>
      </c>
      <c r="Q5" s="27">
        <f ca="1">(VLOOKUP(RIGHT(AH34,6),Contract!$F$3:$H$40,2,0)-VLOOKUP(LEFT(AH34,6),Contract!$F$3:$H$40,2,0))*100</f>
        <v>2.1000000000000796</v>
      </c>
      <c r="R5" s="1" t="str">
        <f t="shared" si="6"/>
        <v>DI1F292</v>
      </c>
      <c r="S5" s="27">
        <f t="shared" ca="1" si="7"/>
        <v>-0.21731595012663973</v>
      </c>
      <c r="T5" s="62">
        <f t="shared" ca="1" si="14"/>
        <v>0</v>
      </c>
      <c r="V5" s="31" t="str">
        <f t="shared" ca="1" si="8"/>
        <v>DI1J281S</v>
      </c>
      <c r="W5" s="26">
        <f ca="1">IFERROR((VLOOKUP(RIGHT(AH46,6),[1]Contract!$F$3:$I$40,4,0)-VLOOKUP(LEFT(AH46,6),[1]Contract!$F$3:$I$40,4,0))*100,"")</f>
        <v>-4.9225352112674869</v>
      </c>
      <c r="X5" s="26">
        <f ca="1">(VLOOKUP(RIGHT(AH46,6),Contract!$F$3:$H$40,2,0)-VLOOKUP(LEFT(AH46,6),Contract!$F$3:$H$40,2,0))*100</f>
        <v>-5.4999999999999716</v>
      </c>
      <c r="Y5" s="1" t="str">
        <f t="shared" ca="1" si="9"/>
        <v>DI1J281</v>
      </c>
      <c r="Z5" s="27" t="str">
        <f t="shared" ca="1" si="10"/>
        <v/>
      </c>
      <c r="AA5" s="65">
        <f t="shared" ca="1" si="15"/>
        <v>-3.0999999999998806</v>
      </c>
      <c r="AG5" s="1" t="s">
        <v>22</v>
      </c>
      <c r="AH5" s="17" t="str">
        <f t="shared" si="16"/>
        <v>DI1F31-DI1F32</v>
      </c>
    </row>
    <row r="6" spans="1:34" x14ac:dyDescent="0.25">
      <c r="A6" s="31" t="str">
        <f t="shared" si="0"/>
        <v>DI1F324S</v>
      </c>
      <c r="B6" s="26" t="str">
        <f ca="1">IFERROR((VLOOKUP(RIGHT(AH6,6),[1]Contract!$F$3:$I$40,4,0)-VLOOKUP(LEFT(AH6,6),[1]Contract!$F$3:$I$40,4,0))*100,"")</f>
        <v/>
      </c>
      <c r="C6" s="26">
        <f ca="1">(VLOOKUP(RIGHT(AH6,6),Contract!$F$3:$H$40,2,0)-VLOOKUP(LEFT(AH6,6),Contract!$F$3:$H$40,2,0))*100</f>
        <v>4.4999999999999929</v>
      </c>
      <c r="D6" t="str">
        <f t="shared" si="1"/>
        <v>DI1F324</v>
      </c>
      <c r="E6" s="27" t="str">
        <f t="shared" ca="1" si="11"/>
        <v/>
      </c>
      <c r="F6" s="58">
        <f t="shared" ca="1" si="12"/>
        <v>2.6999999999999247</v>
      </c>
      <c r="G6" s="55"/>
      <c r="H6" s="31" t="str">
        <f t="shared" si="2"/>
        <v>DI1F328S</v>
      </c>
      <c r="I6" s="27" t="str">
        <f ca="1">IFERROR((VLOOKUP(RIGHT(AH21,6),[1]Contract!$F$3:$I$40,4,0)-VLOOKUP(LEFT(AH21,6),[1]Contract!$F$3:$I$40,4,0))*100,"")</f>
        <v/>
      </c>
      <c r="J6" s="27">
        <f ca="1">(VLOOKUP(RIGHT(AH21,6),Contract!$F$3:$H$40,2,0)-VLOOKUP(LEFT(AH21,6),Contract!$F$3:$H$40,2,0))*100</f>
        <v>6.3000000000000611</v>
      </c>
      <c r="K6" t="str">
        <f t="shared" si="3"/>
        <v>DI1F328S</v>
      </c>
      <c r="L6" s="27" t="str">
        <f t="shared" ca="1" si="4"/>
        <v/>
      </c>
      <c r="M6" s="62">
        <f t="shared" ca="1" si="13"/>
        <v>4.3000000000001037</v>
      </c>
      <c r="O6" s="31" t="str">
        <f t="shared" si="5"/>
        <v>DI1N292S</v>
      </c>
      <c r="P6" s="27">
        <f ca="1">IFERROR((VLOOKUP(RIGHT(AH35,6),[1]Contract!$F$3:$I$40,4,0)-VLOOKUP(LEFT(AH35,6),[1]Contract!$F$3:$I$40,4,0))*100,"")</f>
        <v>1.7892156862744812</v>
      </c>
      <c r="Q6" s="27">
        <f ca="1">(VLOOKUP(RIGHT(AH35,6),Contract!$F$3:$H$40,2,0)-VLOOKUP(LEFT(AH35,6),Contract!$F$3:$H$40,2,0))*100</f>
        <v>2.1000000000000796</v>
      </c>
      <c r="R6" s="1" t="str">
        <f t="shared" si="6"/>
        <v>DI1N292</v>
      </c>
      <c r="S6" s="27" t="str">
        <f t="shared" ca="1" si="7"/>
        <v/>
      </c>
      <c r="T6" s="62">
        <f t="shared" ca="1" si="14"/>
        <v>-0.19999999999988916</v>
      </c>
      <c r="V6" s="31" t="str">
        <f t="shared" ca="1" si="8"/>
        <v>DI1N281S</v>
      </c>
      <c r="W6" s="26" t="str">
        <f ca="1">IFERROR((VLOOKUP(RIGHT(AH47,6),[1]Contract!$F$3:$I$40,4,0)-VLOOKUP(LEFT(AH47,6),[1]Contract!$F$3:$I$40,4,0))*100,"")</f>
        <v/>
      </c>
      <c r="X6" s="26">
        <f ca="1">(VLOOKUP(RIGHT(AH47,6),Contract!$F$3:$H$40,2,0)-VLOOKUP(LEFT(AH47,6),Contract!$F$3:$H$40,2,0))*100</f>
        <v>-2.4000000000000909</v>
      </c>
      <c r="Y6" s="1" t="str">
        <f t="shared" ca="1" si="9"/>
        <v>DI1N281</v>
      </c>
      <c r="Z6" s="27" t="str">
        <f t="shared" ca="1" si="10"/>
        <v/>
      </c>
      <c r="AA6" s="65">
        <f t="shared" ca="1" si="15"/>
        <v>-0.20000000000006679</v>
      </c>
      <c r="AG6" s="1" t="s">
        <v>23</v>
      </c>
      <c r="AH6" s="17" t="str">
        <f t="shared" si="16"/>
        <v>DI1F32-DI1F33</v>
      </c>
    </row>
    <row r="7" spans="1:34" x14ac:dyDescent="0.25">
      <c r="A7" s="31" t="str">
        <f t="shared" si="0"/>
        <v>DI1F334S</v>
      </c>
      <c r="B7" s="26" t="str">
        <f ca="1">IFERROR((VLOOKUP(RIGHT(AH7,6),[1]Contract!$F$3:$I$40,4,0)-VLOOKUP(LEFT(AH7,6),[1]Contract!$F$3:$I$40,4,0))*100,"")</f>
        <v/>
      </c>
      <c r="C7" s="26">
        <f ca="1">(VLOOKUP(RIGHT(AH7,6),Contract!$F$3:$H$40,2,0)-VLOOKUP(LEFT(AH7,6),Contract!$F$3:$H$40,2,0))*100</f>
        <v>1.8000000000000682</v>
      </c>
      <c r="D7" t="str">
        <f t="shared" si="1"/>
        <v>DI1F334</v>
      </c>
      <c r="E7" s="27" t="str">
        <f t="shared" ca="1" si="11"/>
        <v/>
      </c>
      <c r="F7" s="58">
        <f t="shared" ca="1" si="12"/>
        <v>1.6000000000001791</v>
      </c>
      <c r="G7" s="55"/>
      <c r="H7" s="31" t="str">
        <f t="shared" si="2"/>
        <v>DI1F338S</v>
      </c>
      <c r="I7" s="27">
        <f ca="1">IFERROR((VLOOKUP(RIGHT(AH22,6),[1]Contract!$F$3:$I$40,4,0)-VLOOKUP(LEFT(AH22,6),[1]Contract!$F$3:$I$40,4,0))*100,"")</f>
        <v>8.200133511348362</v>
      </c>
      <c r="J7" s="27">
        <f ca="1">(VLOOKUP(RIGHT(AH22,6),Contract!$F$3:$H$40,2,0)-VLOOKUP(LEFT(AH22,6),Contract!$F$3:$H$40,2,0))*100</f>
        <v>1.9999999999999574</v>
      </c>
      <c r="K7" t="str">
        <f t="shared" si="3"/>
        <v>DI1F338S</v>
      </c>
      <c r="L7" s="27">
        <f t="shared" ca="1" si="4"/>
        <v>-6.3885590027629391</v>
      </c>
      <c r="M7" s="62">
        <f t="shared" ca="1" si="13"/>
        <v>2.4000000000000909</v>
      </c>
      <c r="O7" s="31" t="str">
        <f t="shared" si="5"/>
        <v>DI1F302S</v>
      </c>
      <c r="P7" s="27" t="str">
        <f ca="1">IFERROR((VLOOKUP(RIGHT(AH36,6),[1]Contract!$F$3:$I$40,4,0)-VLOOKUP(LEFT(AH36,6),[1]Contract!$F$3:$I$40,4,0))*100,"")</f>
        <v/>
      </c>
      <c r="Q7" s="27">
        <f ca="1">(VLOOKUP(RIGHT(AH36,6),Contract!$F$3:$H$40,2,0)-VLOOKUP(LEFT(AH36,6),Contract!$F$3:$H$40,2,0))*100</f>
        <v>2.2999999999999687</v>
      </c>
      <c r="R7" s="1" t="str">
        <f t="shared" si="6"/>
        <v>DI1F302</v>
      </c>
      <c r="S7" s="27" t="str">
        <f t="shared" ca="1" si="7"/>
        <v/>
      </c>
      <c r="T7" s="62">
        <f t="shared" ca="1" si="14"/>
        <v>-0.99999999999997868</v>
      </c>
      <c r="V7" s="31" t="str">
        <f t="shared" ca="1" si="8"/>
        <v>DI1V281S</v>
      </c>
      <c r="W7" s="26" t="str">
        <f ca="1">IFERROR((VLOOKUP(RIGHT(AH48,6),[1]Contract!$F$3:$I$40,4,0)-VLOOKUP(LEFT(AH48,6),[1]Contract!$F$3:$I$40,4,0))*100,"")</f>
        <v/>
      </c>
      <c r="X7" s="26">
        <f ca="1">(VLOOKUP(RIGHT(AH48,6),Contract!$F$3:$H$40,2,0)-VLOOKUP(LEFT(AH48,6),Contract!$F$3:$H$40,2,0))*100</f>
        <v>-2.2000000000000242</v>
      </c>
      <c r="Y7" s="1" t="str">
        <f t="shared" ca="1" si="9"/>
        <v>DI1V281</v>
      </c>
      <c r="Z7" s="27" t="str">
        <f t="shared" ca="1" si="10"/>
        <v/>
      </c>
      <c r="AA7" s="65">
        <f t="shared" ca="1" si="15"/>
        <v>-3.0000000000001137</v>
      </c>
      <c r="AG7" s="1" t="s">
        <v>24</v>
      </c>
      <c r="AH7" s="17" t="str">
        <f t="shared" si="16"/>
        <v>DI1F33-DI1F34</v>
      </c>
    </row>
    <row r="8" spans="1:34" x14ac:dyDescent="0.25">
      <c r="A8" s="31" t="str">
        <f t="shared" si="0"/>
        <v>DI1F344S</v>
      </c>
      <c r="B8" s="26" t="str">
        <f ca="1">IFERROR((VLOOKUP(RIGHT(AH8,6),[1]Contract!$F$3:$I$40,4,0)-VLOOKUP(LEFT(AH8,6),[1]Contract!$F$3:$I$40,4,0))*100,"")</f>
        <v/>
      </c>
      <c r="C8" s="26">
        <f ca="1">(VLOOKUP(RIGHT(AH8,6),Contract!$F$3:$H$40,2,0)-VLOOKUP(LEFT(AH8,6),Contract!$F$3:$H$40,2,0))*100</f>
        <v>0.19999999999988916</v>
      </c>
      <c r="D8" t="str">
        <f t="shared" si="1"/>
        <v>DI1F344</v>
      </c>
      <c r="E8" s="27" t="str">
        <f t="shared" ca="1" si="11"/>
        <v/>
      </c>
      <c r="F8" s="58">
        <f t="shared" ca="1" si="12"/>
        <v>0.79999999999991189</v>
      </c>
      <c r="G8" s="55"/>
      <c r="H8" s="31" t="str">
        <f t="shared" si="2"/>
        <v>DI1F348S</v>
      </c>
      <c r="I8" s="27" t="str">
        <f ca="1">IFERROR((VLOOKUP(RIGHT(AH23,6),[1]Contract!$F$3:$I$40,4,0)-VLOOKUP(LEFT(AH23,6),[1]Contract!$F$3:$I$40,4,0))*100,"")</f>
        <v/>
      </c>
      <c r="J8" s="27">
        <f ca="1">(VLOOKUP(RIGHT(AH23,6),Contract!$F$3:$H$40,2,0)-VLOOKUP(LEFT(AH23,6),Contract!$F$3:$H$40,2,0))*100</f>
        <v>-0.40000000000013358</v>
      </c>
      <c r="K8" t="str">
        <f t="shared" si="3"/>
        <v>DI1F348S</v>
      </c>
      <c r="L8" s="27" t="str">
        <f t="shared" ca="1" si="4"/>
        <v/>
      </c>
      <c r="M8" s="62">
        <f t="shared" ca="1" si="13"/>
        <v>-2.1000000000002572</v>
      </c>
      <c r="O8" s="31" t="str">
        <f t="shared" si="5"/>
        <v>DI1N302S</v>
      </c>
      <c r="P8" s="27" t="str">
        <f ca="1">IFERROR((VLOOKUP(RIGHT(AH37,6),[1]Contract!$F$3:$I$40,4,0)-VLOOKUP(LEFT(AH37,6),[1]Contract!$F$3:$I$40,4,0))*100,"")</f>
        <v/>
      </c>
      <c r="Q8" s="27">
        <f ca="1">(VLOOKUP(RIGHT(AH37,6),Contract!$F$3:$H$40,2,0)-VLOOKUP(LEFT(AH37,6),Contract!$F$3:$H$40,2,0))*100</f>
        <v>3.2999999999999474</v>
      </c>
      <c r="R8" s="1" t="str">
        <f t="shared" si="6"/>
        <v>DI1N302</v>
      </c>
      <c r="S8" s="27" t="str">
        <f t="shared" ca="1" si="7"/>
        <v/>
      </c>
      <c r="T8" s="62">
        <f t="shared" ca="1" si="14"/>
        <v>-0.20000000000006679</v>
      </c>
      <c r="V8" s="31" t="str">
        <f t="shared" ca="1" si="8"/>
        <v>DI1F291S</v>
      </c>
      <c r="W8" s="26" t="str">
        <f ca="1">IFERROR((VLOOKUP(RIGHT(AH49,6),[1]Contract!$F$3:$I$40,4,0)-VLOOKUP(LEFT(AH49,6),[1]Contract!$F$3:$I$40,4,0))*100,"")</f>
        <v/>
      </c>
      <c r="X8" s="26">
        <f ca="1">(VLOOKUP(RIGHT(AH49,6),Contract!$F$3:$H$40,2,0)-VLOOKUP(LEFT(AH49,6),Contract!$F$3:$H$40,2,0))*100</f>
        <v>0.80000000000008953</v>
      </c>
      <c r="Y8" s="1" t="str">
        <f t="shared" ca="1" si="9"/>
        <v>DI1F291</v>
      </c>
      <c r="Z8" s="27" t="str">
        <f t="shared" ca="1" si="10"/>
        <v/>
      </c>
      <c r="AA8" s="65">
        <f t="shared" ca="1" si="15"/>
        <v>-0.49999999999990052</v>
      </c>
      <c r="AG8" s="1" t="s">
        <v>25</v>
      </c>
      <c r="AH8" s="17" t="str">
        <f t="shared" si="16"/>
        <v>DI1F34-DI1F35</v>
      </c>
    </row>
    <row r="9" spans="1:34" x14ac:dyDescent="0.25">
      <c r="A9" s="31" t="str">
        <f t="shared" si="0"/>
        <v>DI1F354S</v>
      </c>
      <c r="B9" s="26" t="str">
        <f ca="1">IFERROR((VLOOKUP(RIGHT(AH9,6),[1]Contract!$F$3:$I$40,4,0)-VLOOKUP(LEFT(AH9,6),[1]Contract!$F$3:$I$40,4,0))*100,"")</f>
        <v/>
      </c>
      <c r="C9" s="26">
        <f ca="1">(VLOOKUP(RIGHT(AH9,6),Contract!$F$3:$H$40,2,0)-VLOOKUP(LEFT(AH9,6),Contract!$F$3:$H$40,2,0))*100</f>
        <v>-0.60000000000002274</v>
      </c>
      <c r="D9" t="str">
        <f t="shared" si="1"/>
        <v>DI1F354</v>
      </c>
      <c r="E9" s="27" t="str">
        <f t="shared" ca="1" si="11"/>
        <v/>
      </c>
      <c r="F9" s="58">
        <f t="shared" ca="1" si="12"/>
        <v>-2.9000000000001691</v>
      </c>
      <c r="G9" s="55"/>
      <c r="H9" s="31" t="str">
        <f t="shared" si="2"/>
        <v>DI1F358S</v>
      </c>
      <c r="I9" s="27">
        <f ca="1">IFERROR((VLOOKUP(RIGHT(AH24,6),[1]Contract!$F$3:$I$40,4,0)-VLOOKUP(LEFT(AH24,6),[1]Contract!$F$3:$I$40,4,0))*100,"")</f>
        <v>14.588692514111301</v>
      </c>
      <c r="J9" s="27">
        <f ca="1">(VLOOKUP(RIGHT(AH24,6),Contract!$F$3:$H$40,2,0)-VLOOKUP(LEFT(AH24,6),Contract!$F$3:$H$40,2,0))*100</f>
        <v>1.7000000000001236</v>
      </c>
      <c r="K9" t="str">
        <f t="shared" si="3"/>
        <v>DI1F358S</v>
      </c>
      <c r="L9" s="27" t="str">
        <f t="shared" ca="1" si="4"/>
        <v/>
      </c>
      <c r="M9" s="62">
        <f t="shared" ca="1" si="13"/>
        <v>0.40000000000013358</v>
      </c>
      <c r="O9" s="31" t="str">
        <f t="shared" si="5"/>
        <v>DI1F312S</v>
      </c>
      <c r="P9" s="27" t="str">
        <f ca="1">IFERROR((VLOOKUP(RIGHT(AH38,6),[1]Contract!$F$3:$I$40,4,0)-VLOOKUP(LEFT(AH38,6),[1]Contract!$F$3:$I$40,4,0))*100,"")</f>
        <v/>
      </c>
      <c r="Q9" s="27">
        <f ca="1">(VLOOKUP(RIGHT(AH38,6),Contract!$F$3:$H$40,2,0)-VLOOKUP(LEFT(AH38,6),Contract!$F$3:$H$40,2,0))*100</f>
        <v>3.5000000000000142</v>
      </c>
      <c r="R9" s="1" t="str">
        <f t="shared" si="6"/>
        <v>DI1F312</v>
      </c>
      <c r="S9" s="27" t="str">
        <f t="shared" ca="1" si="7"/>
        <v/>
      </c>
      <c r="T9" s="62">
        <f t="shared" ca="1" si="14"/>
        <v>-0.99999999999997868</v>
      </c>
      <c r="V9" s="31" t="str">
        <f t="shared" ca="1" si="8"/>
        <v>DI1J291S</v>
      </c>
      <c r="W9" s="26" t="str">
        <f ca="1">IFERROR((VLOOKUP(RIGHT(AH50,6),[1]Contract!$F$3:$I$40,4,0)-VLOOKUP(LEFT(AH50,6),[1]Contract!$F$3:$I$40,4,0))*100,"")</f>
        <v/>
      </c>
      <c r="X9" s="26">
        <f ca="1">(VLOOKUP(RIGHT(AH50,6),Contract!$F$3:$H$40,2,0)-VLOOKUP(LEFT(AH50,6),Contract!$F$3:$H$40,2,0))*100</f>
        <v>1.2999999999999901</v>
      </c>
      <c r="Y9" s="1" t="str">
        <f t="shared" ca="1" si="9"/>
        <v>DI1J291</v>
      </c>
      <c r="Z9" s="27" t="str">
        <f t="shared" ca="1" si="10"/>
        <v/>
      </c>
      <c r="AA9" s="65">
        <f t="shared" ca="1" si="15"/>
        <v>0.50000000000007816</v>
      </c>
      <c r="AG9" s="1" t="s">
        <v>26</v>
      </c>
      <c r="AH9" s="17" t="str">
        <f t="shared" si="16"/>
        <v>DI1F35-DI1F36</v>
      </c>
    </row>
    <row r="10" spans="1:34" x14ac:dyDescent="0.25">
      <c r="A10" s="31" t="str">
        <f t="shared" si="0"/>
        <v>DI1F364S</v>
      </c>
      <c r="B10" s="26" t="str">
        <f ca="1">IFERROR((VLOOKUP(RIGHT(AH10,6),[1]Contract!$F$3:$I$40,4,0)-VLOOKUP(LEFT(AH10,6),[1]Contract!$F$3:$I$40,4,0))*100,"")</f>
        <v/>
      </c>
      <c r="C10" s="26">
        <f ca="1">(VLOOKUP(RIGHT(AH10,6),Contract!$F$3:$H$40,2,0)-VLOOKUP(LEFT(AH10,6),Contract!$F$3:$H$40,2,0))*100</f>
        <v>2.3000000000001464</v>
      </c>
      <c r="D10" t="str">
        <f t="shared" si="1"/>
        <v>DI1F364</v>
      </c>
      <c r="E10" s="27" t="str">
        <f t="shared" ca="1" si="11"/>
        <v/>
      </c>
      <c r="F10" s="58">
        <f t="shared" ca="1" si="12"/>
        <v>3.3000000000003027</v>
      </c>
      <c r="G10" s="55"/>
      <c r="H10" s="31" t="str">
        <f t="shared" si="2"/>
        <v>DI1F368S</v>
      </c>
      <c r="I10" s="27" t="str">
        <f ca="1">IFERROR((VLOOKUP(RIGHT(AH25,6),[1]Contract!$F$3:$I$40,4,0)-VLOOKUP(LEFT(AH25,6),[1]Contract!$F$3:$I$40,4,0))*100,"")</f>
        <v/>
      </c>
      <c r="J10" s="27">
        <f ca="1">(VLOOKUP(RIGHT(AH25,6),Contract!$F$3:$H$40,2,0)-VLOOKUP(LEFT(AH25,6),Contract!$F$3:$H$40,2,0))*100</f>
        <v>1.2999999999999901</v>
      </c>
      <c r="K10" t="str">
        <f t="shared" si="3"/>
        <v>DI1F368S</v>
      </c>
      <c r="L10" s="27" t="str">
        <f t="shared" ca="1" si="4"/>
        <v/>
      </c>
      <c r="M10" s="62">
        <f t="shared" ca="1" si="13"/>
        <v>4.1000000000000369</v>
      </c>
      <c r="O10" s="34" t="str">
        <f t="shared" si="5"/>
        <v>DI1N312S</v>
      </c>
      <c r="P10" s="33" t="str">
        <f ca="1">IFERROR((VLOOKUP(RIGHT(AH39,6),[1]Contract!$F$3:$I$40,4,0)-VLOOKUP(LEFT(AH39,6),[1]Contract!$F$3:$I$40,4,0))*100,"")</f>
        <v/>
      </c>
      <c r="Q10" s="33">
        <f ca="1">(VLOOKUP(RIGHT(AH39,6),Contract!$F$3:$H$40,2,0)-VLOOKUP(LEFT(AH39,6),Contract!$F$3:$H$40,2,0))*100</f>
        <v>4.4999999999999929</v>
      </c>
      <c r="R10" s="20" t="str">
        <f t="shared" si="6"/>
        <v>DI1N312</v>
      </c>
      <c r="S10" s="33" t="str">
        <f ca="1">IFERROR(P10-B40,"")</f>
        <v/>
      </c>
      <c r="T10" s="63">
        <f t="shared" ca="1" si="14"/>
        <v>4.4999999999999929</v>
      </c>
      <c r="V10" s="31" t="str">
        <f t="shared" ca="1" si="8"/>
        <v>DI1N291S</v>
      </c>
      <c r="W10" s="26" t="str">
        <f ca="1">IFERROR((VLOOKUP(RIGHT(AH51,6),[1]Contract!$F$3:$I$40,4,0)-VLOOKUP(LEFT(AH51,6),[1]Contract!$F$3:$I$40,4,0))*100,"")</f>
        <v/>
      </c>
      <c r="X10" s="26">
        <f ca="1">(VLOOKUP(RIGHT(AH51,6),Contract!$F$3:$H$40,2,0)-VLOOKUP(LEFT(AH51,6),Contract!$F$3:$H$40,2,0))*100</f>
        <v>0.79999999999991189</v>
      </c>
      <c r="Y10" s="1" t="str">
        <f t="shared" ca="1" si="9"/>
        <v>DI1N291</v>
      </c>
      <c r="Z10" s="27" t="str">
        <f t="shared" ca="1" si="10"/>
        <v/>
      </c>
      <c r="AA10" s="65">
        <f t="shared" ca="1" si="15"/>
        <v>-0.5000000000002558</v>
      </c>
      <c r="AG10" s="1" t="s">
        <v>27</v>
      </c>
      <c r="AH10" s="17" t="str">
        <f t="shared" si="16"/>
        <v>DI1F36-DI1F37</v>
      </c>
    </row>
    <row r="11" spans="1:34" x14ac:dyDescent="0.25">
      <c r="A11" s="31" t="str">
        <f t="shared" si="0"/>
        <v>DI1F374S</v>
      </c>
      <c r="B11" s="26" t="str">
        <f ca="1">IFERROR((VLOOKUP(RIGHT(AH11,6),[1]Contract!$F$3:$I$40,4,0)-VLOOKUP(LEFT(AH11,6),[1]Contract!$F$3:$I$40,4,0))*100,"")</f>
        <v/>
      </c>
      <c r="C11" s="26">
        <f ca="1">(VLOOKUP(RIGHT(AH11,6),Contract!$F$3:$H$40,2,0)-VLOOKUP(LEFT(AH11,6),Contract!$F$3:$H$40,2,0))*100</f>
        <v>-1.0000000000001563</v>
      </c>
      <c r="D11" t="str">
        <f t="shared" si="1"/>
        <v>DI1F374</v>
      </c>
      <c r="E11" s="27" t="str">
        <f t="shared" ca="1" si="11"/>
        <v/>
      </c>
      <c r="F11" s="58">
        <f t="shared" ca="1" si="12"/>
        <v>0.79999999999973426</v>
      </c>
      <c r="G11" s="55"/>
      <c r="H11" s="31" t="str">
        <f t="shared" si="2"/>
        <v>DI1F378S</v>
      </c>
      <c r="I11" s="27" t="str">
        <f ca="1">IFERROR((VLOOKUP(RIGHT(AH26,6),[1]Contract!$F$3:$I$40,4,0)-VLOOKUP(LEFT(AH26,6),[1]Contract!$F$3:$I$40,4,0))*100,"")</f>
        <v/>
      </c>
      <c r="J11" s="27">
        <f ca="1">(VLOOKUP(RIGHT(AH26,6),Contract!$F$3:$H$40,2,0)-VLOOKUP(LEFT(AH26,6),Contract!$F$3:$H$40,2,0))*100</f>
        <v>-2.8000000000000469</v>
      </c>
      <c r="K11" t="str">
        <f t="shared" si="3"/>
        <v>DI1F378S</v>
      </c>
      <c r="L11" s="27"/>
      <c r="M11" s="62">
        <f t="shared" ca="1" si="13"/>
        <v>0.69999999999996732</v>
      </c>
      <c r="V11" s="31" t="str">
        <f t="shared" ca="1" si="8"/>
        <v>DI1V291S</v>
      </c>
      <c r="W11" s="26" t="str">
        <f ca="1">IFERROR((VLOOKUP(RIGHT(AH52,6),[1]Contract!$F$3:$I$40,4,0)-VLOOKUP(LEFT(AH52,6),[1]Contract!$F$3:$I$40,4,0))*100,"")</f>
        <v/>
      </c>
      <c r="X11" s="26">
        <f ca="1">(VLOOKUP(RIGHT(AH52,6),Contract!$F$3:$H$40,2,0)-VLOOKUP(LEFT(AH52,6),Contract!$F$3:$H$40,2,0))*100</f>
        <v>1.3000000000001677</v>
      </c>
      <c r="Y11" s="1" t="str">
        <f t="shared" ca="1" si="9"/>
        <v>DI1V291</v>
      </c>
      <c r="Z11" s="27" t="str">
        <f t="shared" ca="1" si="10"/>
        <v/>
      </c>
      <c r="AA11" s="65">
        <f t="shared" ca="1" si="15"/>
        <v>1.000000000000334</v>
      </c>
      <c r="AG11" s="1" t="s">
        <v>28</v>
      </c>
      <c r="AH11" s="17" t="str">
        <f t="shared" si="16"/>
        <v>DI1F37-DI1F38</v>
      </c>
    </row>
    <row r="12" spans="1:34" x14ac:dyDescent="0.25">
      <c r="A12" s="31" t="str">
        <f t="shared" si="0"/>
        <v>DI1F384S</v>
      </c>
      <c r="B12" s="26" t="str">
        <f ca="1">IFERROR((VLOOKUP(RIGHT(AH12,6),[1]Contract!$F$3:$I$40,4,0)-VLOOKUP(LEFT(AH12,6),[1]Contract!$F$3:$I$40,4,0))*100,"")</f>
        <v/>
      </c>
      <c r="C12" s="26">
        <f ca="1">(VLOOKUP(RIGHT(AH12,6),Contract!$F$3:$H$40,2,0)-VLOOKUP(LEFT(AH12,6),Contract!$F$3:$H$40,2,0))*100</f>
        <v>-1.7999999999998906</v>
      </c>
      <c r="D12" t="str">
        <f t="shared" si="1"/>
        <v>DI1F384</v>
      </c>
      <c r="E12" s="27" t="str">
        <f t="shared" ca="1" si="11"/>
        <v/>
      </c>
      <c r="F12" s="58">
        <f t="shared" ca="1" si="12"/>
        <v>-9.9999999999766942E-2</v>
      </c>
      <c r="G12" s="55"/>
      <c r="H12" s="34" t="str">
        <f t="shared" si="2"/>
        <v>DI1F388S</v>
      </c>
      <c r="I12" s="33" t="str">
        <f ca="1">IFERROR((VLOOKUP(RIGHT(AH27,6),[1]Contract!$F$3:$I$40,4,0)-VLOOKUP(LEFT(AH27,6),[1]Contract!$F$3:$I$40,4,0))*100,"")</f>
        <v/>
      </c>
      <c r="J12" s="33">
        <f ca="1">(VLOOKUP(RIGHT(AH27,6),Contract!$F$3:$H$40,2,0)-VLOOKUP(LEFT(AH27,6),Contract!$F$3:$H$40,2,0))*100</f>
        <v>-3.5000000000000142</v>
      </c>
      <c r="K12" s="59" t="str">
        <f t="shared" si="3"/>
        <v>DI1F388S</v>
      </c>
      <c r="L12" s="33"/>
      <c r="M12" s="63">
        <f t="shared" ca="1" si="13"/>
        <v>-3.5000000000000142</v>
      </c>
      <c r="V12" s="31" t="str">
        <f t="shared" ca="1" si="8"/>
        <v>DI1F301S</v>
      </c>
      <c r="W12" s="26" t="str">
        <f ca="1">IFERROR((VLOOKUP(RIGHT(AH53,6),[1]Contract!$F$3:$I$40,4,0)-VLOOKUP(LEFT(AH53,6),[1]Contract!$F$3:$I$40,4,0))*100,"")</f>
        <v/>
      </c>
      <c r="X12" s="26">
        <f ca="1">(VLOOKUP(RIGHT(AH53,6),Contract!$F$3:$H$40,2,0)-VLOOKUP(LEFT(AH53,6),Contract!$F$3:$H$40,2,0))*100</f>
        <v>0.29999999999983373</v>
      </c>
      <c r="Y12" s="1" t="str">
        <f t="shared" ca="1" si="9"/>
        <v>DI1F301</v>
      </c>
      <c r="Z12" s="27" t="str">
        <f t="shared" ca="1" si="10"/>
        <v/>
      </c>
      <c r="AA12" s="65">
        <f t="shared" ca="1" si="15"/>
        <v>-1.7000000000003013</v>
      </c>
      <c r="AG12" s="1" t="s">
        <v>29</v>
      </c>
      <c r="AH12" s="17" t="str">
        <f t="shared" si="16"/>
        <v>DI1F38-DI1F39</v>
      </c>
    </row>
    <row r="13" spans="1:34" x14ac:dyDescent="0.25">
      <c r="A13" s="31" t="str">
        <f t="shared" si="0"/>
        <v>DI1F394S</v>
      </c>
      <c r="B13" s="26" t="str">
        <f ca="1">IFERROR((VLOOKUP(RIGHT(AH13,6),[1]Contract!$F$3:$I$40,4,0)-VLOOKUP(LEFT(AH13,6),[1]Contract!$F$3:$I$40,4,0))*100,"")</f>
        <v/>
      </c>
      <c r="C13" s="26">
        <f ca="1">(VLOOKUP(RIGHT(AH13,6),Contract!$F$3:$H$40,2,0)-VLOOKUP(LEFT(AH13,6),Contract!$F$3:$H$40,2,0))*100</f>
        <v>-1.7000000000001236</v>
      </c>
      <c r="D13" t="str">
        <f t="shared" si="1"/>
        <v>DI1F394</v>
      </c>
      <c r="F13" s="58"/>
      <c r="G13" s="55"/>
      <c r="V13" s="31" t="str">
        <f t="shared" ca="1" si="8"/>
        <v>DI1J301S</v>
      </c>
      <c r="W13" s="26" t="str">
        <f ca="1">IFERROR((VLOOKUP(RIGHT(AH54,6),[1]Contract!$F$3:$I$40,4,0)-VLOOKUP(LEFT(AH54,6),[1]Contract!$F$3:$I$40,4,0))*100,"")</f>
        <v/>
      </c>
      <c r="X13" s="26">
        <f ca="1">(VLOOKUP(RIGHT(AH54,6),Contract!$F$3:$H$40,2,0)-VLOOKUP(LEFT(AH54,6),Contract!$F$3:$H$40,2,0))*100</f>
        <v>2.000000000000135</v>
      </c>
      <c r="Y13" s="1" t="str">
        <f t="shared" ca="1" si="9"/>
        <v>DI1J301</v>
      </c>
      <c r="Z13" s="27" t="str">
        <f t="shared" ca="1" si="10"/>
        <v/>
      </c>
      <c r="AA13" s="65">
        <f t="shared" ca="1" si="15"/>
        <v>1.0000000000001563</v>
      </c>
      <c r="AG13" s="1" t="s">
        <v>30</v>
      </c>
      <c r="AH13" s="17" t="str">
        <f t="shared" si="16"/>
        <v>DI1F39-DI1F40</v>
      </c>
    </row>
    <row r="14" spans="1:34" x14ac:dyDescent="0.25">
      <c r="A14" s="34" t="str">
        <f t="shared" si="0"/>
        <v>DI1F404S</v>
      </c>
      <c r="B14" s="32"/>
      <c r="C14" s="32"/>
      <c r="D14" s="59" t="str">
        <f t="shared" si="1"/>
        <v>DI1F404</v>
      </c>
      <c r="E14" s="20"/>
      <c r="F14" s="60"/>
      <c r="G14" s="55"/>
      <c r="V14" s="31" t="str">
        <f t="shared" ca="1" si="8"/>
        <v>DI1N301S</v>
      </c>
      <c r="W14" s="26" t="str">
        <f ca="1">IFERROR((VLOOKUP(RIGHT(AH55,6),[1]Contract!$F$3:$I$40,4,0)-VLOOKUP(LEFT(AH55,6),[1]Contract!$F$3:$I$40,4,0))*100,"")</f>
        <v/>
      </c>
      <c r="X14" s="26">
        <f ca="1">(VLOOKUP(RIGHT(AH55,6),Contract!$F$3:$H$40,2,0)-VLOOKUP(LEFT(AH55,6),Contract!$F$3:$H$40,2,0))*100</f>
        <v>0.99999999999997868</v>
      </c>
      <c r="Y14" s="1" t="str">
        <f t="shared" ca="1" si="9"/>
        <v>DI1N301</v>
      </c>
      <c r="Z14" s="27" t="str">
        <f t="shared" ca="1" si="10"/>
        <v/>
      </c>
      <c r="AA14" s="65">
        <f t="shared" ca="1" si="15"/>
        <v>-1.2999999999999901</v>
      </c>
      <c r="AG14" s="1" t="s">
        <v>31</v>
      </c>
      <c r="AH14" s="23"/>
    </row>
    <row r="15" spans="1:34" ht="27" customHeight="1" x14ac:dyDescent="0.25">
      <c r="V15" s="31" t="str">
        <f t="shared" ca="1" si="8"/>
        <v>DI1V301S</v>
      </c>
      <c r="W15" s="26" t="str">
        <f ca="1">IFERROR((VLOOKUP(RIGHT(AH56,6),[1]Contract!$F$3:$I$40,4,0)-VLOOKUP(LEFT(AH56,6),[1]Contract!$F$3:$I$40,4,0))*100,"")</f>
        <v/>
      </c>
      <c r="X15" s="26">
        <f ca="1">(VLOOKUP(RIGHT(AH56,6),Contract!$F$3:$H$40,2,0)-VLOOKUP(LEFT(AH56,6),Contract!$F$3:$H$40,2,0))*100</f>
        <v>2.2999999999999687</v>
      </c>
      <c r="Y15" s="1" t="str">
        <f t="shared" ca="1" si="9"/>
        <v>DI1V301</v>
      </c>
      <c r="Z15" s="27" t="str">
        <f t="shared" ca="1" si="10"/>
        <v/>
      </c>
      <c r="AA15" s="65">
        <f t="shared" ca="1" si="15"/>
        <v>0.79999999999991189</v>
      </c>
    </row>
    <row r="16" spans="1:34" x14ac:dyDescent="0.25">
      <c r="V16" s="34" t="str">
        <f t="shared" ca="1" si="8"/>
        <v>DI1F311S</v>
      </c>
      <c r="W16" s="32" t="str">
        <f ca="1">IFERROR((VLOOKUP(RIGHT(AH57,6),[1]Contract!$F$3:$I$40,4,0)-VLOOKUP(LEFT(AH57,6),[1]Contract!$F$3:$I$40,4,0))*100,"")</f>
        <v/>
      </c>
      <c r="X16" s="32">
        <f ca="1">(VLOOKUP(RIGHT(AH57,6),Contract!$F$3:$H$40,2,0)-VLOOKUP(LEFT(AH57,6),Contract!$F$3:$H$40,2,0))*100</f>
        <v>1.5000000000000568</v>
      </c>
      <c r="Y16" s="20" t="str">
        <f t="shared" ca="1" si="9"/>
        <v>DI1F311</v>
      </c>
      <c r="Z16" s="33" t="str">
        <f ca="1">IFERROR(W16-B59,"")</f>
        <v/>
      </c>
      <c r="AA16" s="66">
        <f t="shared" ca="1" si="15"/>
        <v>1.5000000000000568</v>
      </c>
      <c r="AG16" s="1" t="str">
        <f t="shared" ref="AG16:AG29" si="17">AG1</f>
        <v>DI1F27</v>
      </c>
      <c r="AH16" s="35" t="str">
        <f>_xlfn.CONCAT(AG16,"-",AG18)</f>
        <v>DI1F27-DI1F29</v>
      </c>
    </row>
    <row r="17" spans="5:34" x14ac:dyDescent="0.25">
      <c r="AG17" s="1" t="str">
        <f t="shared" si="17"/>
        <v>DI1F28</v>
      </c>
      <c r="AH17" s="31" t="str">
        <f t="shared" ref="AH17:AH25" si="18">_xlfn.CONCAT(AG17,"-",AG19)</f>
        <v>DI1F28-DI1F30</v>
      </c>
    </row>
    <row r="18" spans="5:34" x14ac:dyDescent="0.25">
      <c r="AG18" s="1" t="str">
        <f t="shared" si="17"/>
        <v>DI1F29</v>
      </c>
      <c r="AH18" s="31" t="str">
        <f t="shared" si="18"/>
        <v>DI1F29-DI1F31</v>
      </c>
    </row>
    <row r="19" spans="5:34" x14ac:dyDescent="0.25">
      <c r="AG19" s="1" t="str">
        <f t="shared" si="17"/>
        <v>DI1F30</v>
      </c>
      <c r="AH19" s="31" t="str">
        <f t="shared" si="18"/>
        <v>DI1F30-DI1F32</v>
      </c>
    </row>
    <row r="20" spans="5:34" x14ac:dyDescent="0.25">
      <c r="AG20" s="1" t="str">
        <f t="shared" si="17"/>
        <v>DI1F31</v>
      </c>
      <c r="AH20" s="31" t="str">
        <f t="shared" si="18"/>
        <v>DI1F31-DI1F33</v>
      </c>
    </row>
    <row r="21" spans="5:34" x14ac:dyDescent="0.25">
      <c r="AG21" s="1" t="str">
        <f t="shared" si="17"/>
        <v>DI1F32</v>
      </c>
      <c r="AH21" s="31" t="str">
        <f t="shared" si="18"/>
        <v>DI1F32-DI1F34</v>
      </c>
    </row>
    <row r="22" spans="5:34" x14ac:dyDescent="0.25">
      <c r="AG22" s="1" t="str">
        <f t="shared" si="17"/>
        <v>DI1F33</v>
      </c>
      <c r="AH22" s="31" t="str">
        <f t="shared" si="18"/>
        <v>DI1F33-DI1F35</v>
      </c>
    </row>
    <row r="23" spans="5:34" x14ac:dyDescent="0.25">
      <c r="AG23" s="1" t="str">
        <f t="shared" si="17"/>
        <v>DI1F34</v>
      </c>
      <c r="AH23" s="31" t="str">
        <f t="shared" si="18"/>
        <v>DI1F34-DI1F36</v>
      </c>
    </row>
    <row r="24" spans="5:34" x14ac:dyDescent="0.25">
      <c r="AG24" s="1" t="str">
        <f t="shared" si="17"/>
        <v>DI1F35</v>
      </c>
      <c r="AH24" s="31" t="str">
        <f t="shared" si="18"/>
        <v>DI1F35-DI1F37</v>
      </c>
    </row>
    <row r="25" spans="5:34" x14ac:dyDescent="0.25">
      <c r="AG25" s="1" t="str">
        <f t="shared" si="17"/>
        <v>DI1F36</v>
      </c>
      <c r="AH25" s="31" t="str">
        <f t="shared" si="18"/>
        <v>DI1F36-DI1F38</v>
      </c>
    </row>
    <row r="26" spans="5:34" x14ac:dyDescent="0.25">
      <c r="AG26" s="1" t="str">
        <f t="shared" si="17"/>
        <v>DI1F37</v>
      </c>
      <c r="AH26" s="31" t="str">
        <f>_xlfn.CONCAT(AG26,"-",AG28)</f>
        <v>DI1F37-DI1F39</v>
      </c>
    </row>
    <row r="27" spans="5:34" x14ac:dyDescent="0.25">
      <c r="AG27" s="1" t="str">
        <f t="shared" si="17"/>
        <v>DI1F38</v>
      </c>
      <c r="AH27" s="31" t="str">
        <f>_xlfn.CONCAT(AG27,"-",AG29)</f>
        <v>DI1F38-DI1F40</v>
      </c>
    </row>
    <row r="28" spans="5:34" x14ac:dyDescent="0.25">
      <c r="E28" s="27"/>
      <c r="AG28" s="1" t="str">
        <f t="shared" si="17"/>
        <v>DI1F39</v>
      </c>
      <c r="AH28" s="31"/>
    </row>
    <row r="29" spans="5:34" ht="27" customHeight="1" x14ac:dyDescent="0.25">
      <c r="F29" s="1"/>
      <c r="G29" s="1"/>
      <c r="AG29" s="1" t="str">
        <f t="shared" si="17"/>
        <v>DI1F40</v>
      </c>
      <c r="AH29" s="34"/>
    </row>
    <row r="30" spans="5:34" x14ac:dyDescent="0.25">
      <c r="F30" s="1"/>
      <c r="G30" s="1"/>
      <c r="AG30" s="1" t="s">
        <v>18</v>
      </c>
      <c r="AH30" s="6" t="str">
        <f>_xlfn.CONCAT(AG30,"-",AG31)</f>
        <v>DI1F27-DI1N27</v>
      </c>
    </row>
    <row r="31" spans="5:34" x14ac:dyDescent="0.25">
      <c r="F31" s="1"/>
      <c r="G31" s="1"/>
      <c r="AG31" s="1" t="s">
        <v>32</v>
      </c>
      <c r="AH31" s="13" t="str">
        <f t="shared" ref="AH31:AH39" si="19">_xlfn.CONCAT(AG31,"-",AG32)</f>
        <v>DI1N27-DI1F28</v>
      </c>
    </row>
    <row r="32" spans="5:34" x14ac:dyDescent="0.25">
      <c r="F32" s="1"/>
      <c r="G32" s="1"/>
      <c r="AG32" s="1" t="s">
        <v>19</v>
      </c>
      <c r="AH32" s="13" t="str">
        <f t="shared" si="19"/>
        <v>DI1F28-DI1N28</v>
      </c>
    </row>
    <row r="33" spans="2:34" x14ac:dyDescent="0.25">
      <c r="F33" s="1"/>
      <c r="G33" s="1"/>
      <c r="AG33" s="1" t="s">
        <v>33</v>
      </c>
      <c r="AH33" s="13" t="str">
        <f t="shared" si="19"/>
        <v>DI1N28-DI1F29</v>
      </c>
    </row>
    <row r="34" spans="2:34" x14ac:dyDescent="0.25">
      <c r="F34" s="1"/>
      <c r="G34" s="1"/>
      <c r="AG34" s="1" t="s">
        <v>20</v>
      </c>
      <c r="AH34" s="36" t="str">
        <f t="shared" si="19"/>
        <v>DI1F29-DI1N29</v>
      </c>
    </row>
    <row r="35" spans="2:34" x14ac:dyDescent="0.25">
      <c r="F35" s="1"/>
      <c r="G35" s="1"/>
      <c r="AG35" s="1" t="s">
        <v>34</v>
      </c>
      <c r="AH35" s="13" t="str">
        <f t="shared" si="19"/>
        <v>DI1N29-DI1F30</v>
      </c>
    </row>
    <row r="36" spans="2:34" x14ac:dyDescent="0.25">
      <c r="F36" s="1"/>
      <c r="G36" s="1"/>
      <c r="AG36" s="1" t="s">
        <v>21</v>
      </c>
      <c r="AH36" s="13" t="str">
        <f t="shared" si="19"/>
        <v>DI1F30-DI1N30</v>
      </c>
    </row>
    <row r="37" spans="2:34" x14ac:dyDescent="0.25">
      <c r="F37" s="1"/>
      <c r="G37" s="1"/>
      <c r="AG37" s="1" t="s">
        <v>35</v>
      </c>
      <c r="AH37" s="13" t="str">
        <f t="shared" si="19"/>
        <v>DI1N30-DI1F31</v>
      </c>
    </row>
    <row r="38" spans="2:34" x14ac:dyDescent="0.25">
      <c r="F38" s="1"/>
      <c r="G38" s="1"/>
      <c r="AG38" s="1" t="s">
        <v>22</v>
      </c>
      <c r="AH38" s="13" t="str">
        <f t="shared" si="19"/>
        <v>DI1F31-DI1N31</v>
      </c>
    </row>
    <row r="39" spans="2:34" x14ac:dyDescent="0.25">
      <c r="F39" s="1"/>
      <c r="G39" s="1"/>
      <c r="AG39" s="1" t="s">
        <v>36</v>
      </c>
      <c r="AH39" s="13" t="str">
        <f t="shared" si="19"/>
        <v>DI1N31-DI1F32</v>
      </c>
    </row>
    <row r="40" spans="2:34" x14ac:dyDescent="0.25">
      <c r="B40" s="20"/>
      <c r="D40" s="1"/>
      <c r="E40" s="20"/>
      <c r="F40" s="1"/>
      <c r="G40" s="1"/>
      <c r="AG40" s="1" t="s">
        <v>23</v>
      </c>
      <c r="AH40" s="19"/>
    </row>
    <row r="41" spans="2:34" x14ac:dyDescent="0.25">
      <c r="F41" s="1"/>
      <c r="G41" s="1"/>
    </row>
    <row r="42" spans="2:34" x14ac:dyDescent="0.25">
      <c r="F42" s="1"/>
      <c r="G42" s="1"/>
      <c r="AG42" s="1" t="str">
        <f ca="1">[1]All!C15</f>
        <v>DI1J27</v>
      </c>
      <c r="AH42" s="37" t="str">
        <f ca="1">_xlfn.CONCAT([1]All!C15,"-",[1]All!C16)</f>
        <v>DI1J27-DI1N27</v>
      </c>
    </row>
    <row r="43" spans="2:34" x14ac:dyDescent="0.25">
      <c r="F43" s="1"/>
      <c r="G43" s="1"/>
      <c r="AG43" s="1" t="str">
        <f ca="1">[1]All!C16</f>
        <v>DI1N27</v>
      </c>
      <c r="AH43" s="38" t="str">
        <f ca="1">_xlfn.CONCAT([1]All!C16,"-",[1]All!C17)</f>
        <v>DI1N27-DI1V27</v>
      </c>
    </row>
    <row r="44" spans="2:34" x14ac:dyDescent="0.25">
      <c r="F44" s="1"/>
      <c r="G44" s="1"/>
      <c r="AG44" s="1" t="str">
        <f ca="1">[1]All!C17</f>
        <v>DI1V27</v>
      </c>
      <c r="AH44" s="38" t="str">
        <f ca="1">_xlfn.CONCAT([1]All!C17,"-",[1]All!C18)</f>
        <v>DI1V27-DI1F28</v>
      </c>
    </row>
    <row r="45" spans="2:34" x14ac:dyDescent="0.25">
      <c r="F45" s="1"/>
      <c r="G45" s="1"/>
      <c r="AG45" s="1" t="str">
        <f ca="1">[1]All!C18</f>
        <v>DI1F28</v>
      </c>
      <c r="AH45" s="38" t="str">
        <f ca="1">_xlfn.CONCAT([1]All!C18,"-",[1]All!C19)</f>
        <v>DI1F28-DI1J28</v>
      </c>
    </row>
    <row r="46" spans="2:34" x14ac:dyDescent="0.25">
      <c r="F46" s="1"/>
      <c r="G46" s="1"/>
      <c r="AG46" s="1" t="str">
        <f ca="1">[1]All!C19</f>
        <v>DI1J28</v>
      </c>
      <c r="AH46" s="38" t="str">
        <f ca="1">_xlfn.CONCAT([1]All!C19,"-",[1]All!C20)</f>
        <v>DI1J28-DI1N28</v>
      </c>
    </row>
    <row r="47" spans="2:34" x14ac:dyDescent="0.25">
      <c r="F47" s="1"/>
      <c r="G47" s="1"/>
      <c r="AG47" s="1" t="str">
        <f ca="1">[1]All!C20</f>
        <v>DI1N28</v>
      </c>
      <c r="AH47" s="38" t="str">
        <f ca="1">_xlfn.CONCAT([1]All!C20,"-",[1]All!C21)</f>
        <v>DI1N28-DI1V28</v>
      </c>
    </row>
    <row r="48" spans="2:34" x14ac:dyDescent="0.25">
      <c r="F48" s="1"/>
      <c r="G48" s="1"/>
      <c r="AG48" s="1" t="str">
        <f ca="1">[1]All!C21</f>
        <v>DI1V28</v>
      </c>
      <c r="AH48" s="38" t="str">
        <f ca="1">_xlfn.CONCAT([1]All!C21,"-",[1]All!C22)</f>
        <v>DI1V28-DI1F29</v>
      </c>
    </row>
    <row r="49" spans="2:34" x14ac:dyDescent="0.25">
      <c r="F49" s="1"/>
      <c r="G49" s="1"/>
      <c r="AG49" s="1" t="str">
        <f ca="1">[1]All!C22</f>
        <v>DI1F29</v>
      </c>
      <c r="AH49" s="38" t="str">
        <f ca="1">_xlfn.CONCAT([1]All!C22,"-",[1]All!C23)</f>
        <v>DI1F29-DI1J29</v>
      </c>
    </row>
    <row r="50" spans="2:34" x14ac:dyDescent="0.25">
      <c r="F50" s="1"/>
      <c r="G50" s="1"/>
      <c r="AG50" s="1" t="str">
        <f ca="1">[1]All!C23</f>
        <v>DI1J29</v>
      </c>
      <c r="AH50" s="38" t="str">
        <f ca="1">_xlfn.CONCAT([1]All!C23,"-",[1]All!C24)</f>
        <v>DI1J29-DI1N29</v>
      </c>
    </row>
    <row r="51" spans="2:34" x14ac:dyDescent="0.25">
      <c r="F51" s="1"/>
      <c r="G51" s="1"/>
      <c r="AG51" s="1" t="str">
        <f ca="1">[1]All!C24</f>
        <v>DI1N29</v>
      </c>
      <c r="AH51" s="38" t="str">
        <f ca="1">_xlfn.CONCAT([1]All!C24,"-",[1]All!C25)</f>
        <v>DI1N29-DI1V29</v>
      </c>
    </row>
    <row r="52" spans="2:34" x14ac:dyDescent="0.25">
      <c r="F52" s="1"/>
      <c r="G52" s="1"/>
      <c r="AG52" s="1" t="str">
        <f ca="1">[1]All!C25</f>
        <v>DI1V29</v>
      </c>
      <c r="AH52" s="38" t="str">
        <f ca="1">_xlfn.CONCAT([1]All!C25,"-",[1]All!C26)</f>
        <v>DI1V29-DI1F30</v>
      </c>
    </row>
    <row r="53" spans="2:34" x14ac:dyDescent="0.25">
      <c r="F53" s="1"/>
      <c r="G53" s="1"/>
      <c r="AG53" s="1" t="str">
        <f ca="1">[1]All!C26</f>
        <v>DI1F30</v>
      </c>
      <c r="AH53" s="38" t="str">
        <f ca="1">_xlfn.CONCAT([1]All!C26,"-",[1]All!C27)</f>
        <v>DI1F30-DI1J30</v>
      </c>
    </row>
    <row r="54" spans="2:34" x14ac:dyDescent="0.25">
      <c r="F54" s="1"/>
      <c r="G54" s="1"/>
      <c r="AG54" s="1" t="str">
        <f ca="1">[1]All!C27</f>
        <v>DI1J30</v>
      </c>
      <c r="AH54" s="38" t="str">
        <f ca="1">_xlfn.CONCAT([1]All!C27,"-",[1]All!C28)</f>
        <v>DI1J30-DI1N30</v>
      </c>
    </row>
    <row r="55" spans="2:34" x14ac:dyDescent="0.25">
      <c r="F55" s="1"/>
      <c r="G55" s="1"/>
      <c r="AG55" s="1" t="str">
        <f ca="1">[1]All!C28</f>
        <v>DI1N30</v>
      </c>
      <c r="AH55" s="38" t="str">
        <f ca="1">_xlfn.CONCAT([1]All!C28,"-",[1]All!C29)</f>
        <v>DI1N30-DI1V30</v>
      </c>
    </row>
    <row r="56" spans="2:34" x14ac:dyDescent="0.25">
      <c r="F56" s="1"/>
      <c r="G56" s="1"/>
      <c r="AG56" s="1" t="str">
        <f ca="1">[1]All!C29</f>
        <v>DI1V30</v>
      </c>
      <c r="AH56" s="38" t="str">
        <f ca="1">_xlfn.CONCAT([1]All!C29,"-",[1]All!C30)</f>
        <v>DI1V30-DI1F31</v>
      </c>
    </row>
    <row r="57" spans="2:34" x14ac:dyDescent="0.25">
      <c r="F57" s="1"/>
      <c r="G57" s="1"/>
      <c r="AG57" s="1" t="str">
        <f ca="1">[1]All!C30</f>
        <v>DI1F31</v>
      </c>
      <c r="AH57" s="38" t="str">
        <f ca="1">_xlfn.CONCAT([1]All!C30,"-",[1]All!C31)</f>
        <v>DI1F31-DI1J31</v>
      </c>
    </row>
    <row r="58" spans="2:34" x14ac:dyDescent="0.25">
      <c r="D58" s="1"/>
      <c r="F58" s="1"/>
      <c r="G58" s="1"/>
      <c r="AG58" s="1" t="str">
        <f ca="1">[1]All!C31</f>
        <v>DI1J31</v>
      </c>
      <c r="AH58" s="39" t="str">
        <f ca="1">_xlfn.CONCAT([1]All!C31,"-",[1]All!C32)</f>
        <v>DI1J31-DI1N31</v>
      </c>
    </row>
    <row r="59" spans="2:34" x14ac:dyDescent="0.25">
      <c r="B59" s="26" t="str">
        <f ca="1">IFERROR((VLOOKUP(RIGHT(AH58,6),[1]Contract!$F$3:$I$40,4,0)-VLOOKUP(LEFT(AH58,6),[1]Contract!$F$3:$I$40,4,0))*100,"")</f>
        <v/>
      </c>
      <c r="C59" s="26"/>
      <c r="D59" s="1"/>
      <c r="E59" s="33"/>
      <c r="F59" s="1"/>
      <c r="G59" s="1"/>
    </row>
    <row r="60" spans="2:34" x14ac:dyDescent="0.25">
      <c r="D60" s="1"/>
      <c r="F60" s="1"/>
      <c r="G60" s="1"/>
    </row>
    <row r="61" spans="2:34" x14ac:dyDescent="0.25">
      <c r="D61" s="1"/>
      <c r="F61" s="1"/>
      <c r="G61" s="1"/>
    </row>
    <row r="62" spans="2:34" x14ac:dyDescent="0.25">
      <c r="D62" s="1"/>
      <c r="F62" s="1"/>
      <c r="G62" s="1"/>
    </row>
    <row r="63" spans="2:34" x14ac:dyDescent="0.25">
      <c r="D63" s="1"/>
      <c r="F63" s="1"/>
      <c r="G63" s="1"/>
    </row>
    <row r="64" spans="2:34" x14ac:dyDescent="0.25">
      <c r="D64" s="1"/>
      <c r="F64" s="1"/>
      <c r="G64" s="1"/>
    </row>
    <row r="65" s="1" customFormat="1" x14ac:dyDescent="0.25"/>
    <row r="66" s="1" customFormat="1" x14ac:dyDescent="0.25"/>
    <row r="67" s="1" customFormat="1" x14ac:dyDescent="0.25"/>
    <row r="68" s="1" customFormat="1" x14ac:dyDescent="0.25"/>
    <row r="69" s="1" customFormat="1" x14ac:dyDescent="0.25"/>
    <row r="70" s="1" customFormat="1" x14ac:dyDescent="0.25"/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E97D96-079E-4484-8CC7-F1902AEE0AFB}">
  <dimension ref="A1:S1266"/>
  <sheetViews>
    <sheetView topLeftCell="A2" workbookViewId="0">
      <selection activeCell="H3" sqref="H3"/>
    </sheetView>
  </sheetViews>
  <sheetFormatPr defaultRowHeight="15" x14ac:dyDescent="0.25"/>
  <cols>
    <col min="1" max="2" width="9.140625" style="1"/>
    <col min="3" max="3" width="17.5703125" style="45" bestFit="1" customWidth="1"/>
    <col min="4" max="4" width="11.140625" style="1" bestFit="1" customWidth="1"/>
    <col min="5" max="5" width="11.140625" style="1" customWidth="1"/>
    <col min="7" max="7" width="14.28515625" style="1" bestFit="1" customWidth="1"/>
    <col min="8" max="8" width="13.42578125" style="1" bestFit="1" customWidth="1"/>
    <col min="9" max="9" width="13.42578125" style="1" customWidth="1"/>
    <col min="10" max="10" width="11.140625" style="1" customWidth="1"/>
    <col min="11" max="14" width="9.140625" style="1"/>
    <col min="15" max="15" width="10.42578125" style="1" bestFit="1" customWidth="1"/>
    <col min="16" max="16384" width="9.140625" style="1"/>
  </cols>
  <sheetData>
    <row r="1" spans="1:19" ht="15.75" thickBot="1" x14ac:dyDescent="0.3">
      <c r="A1" s="1" t="s">
        <v>0</v>
      </c>
      <c r="B1" s="2">
        <f ca="1">TODAY()</f>
        <v>46127</v>
      </c>
      <c r="C1" s="1"/>
    </row>
    <row r="2" spans="1:19" ht="15.75" thickBot="1" x14ac:dyDescent="0.3">
      <c r="C2" s="40" t="s">
        <v>37</v>
      </c>
      <c r="D2" s="41" t="s">
        <v>38</v>
      </c>
      <c r="E2" s="41"/>
      <c r="F2" s="42" t="s">
        <v>39</v>
      </c>
      <c r="G2" s="42" t="s">
        <v>10</v>
      </c>
      <c r="H2" s="41" t="s">
        <v>16</v>
      </c>
      <c r="I2" s="41" t="s">
        <v>13</v>
      </c>
      <c r="J2" s="43" t="s">
        <v>40</v>
      </c>
      <c r="O2" s="44" t="s">
        <v>41</v>
      </c>
      <c r="R2" s="67" t="s">
        <v>42</v>
      </c>
      <c r="S2" s="68"/>
    </row>
    <row r="3" spans="1:19" x14ac:dyDescent="0.25">
      <c r="C3" s="45">
        <f ca="1">WORKDAY(DATEVALUE("1 " &amp; LEFT(D3,3) &amp; " 20" &amp; RIGHT(D3,2)) - 1, 1,$O$3:$O$1266)</f>
        <v>46146</v>
      </c>
      <c r="D3" s="1" t="str" cm="1">
        <f t="array" aca="1" ref="D3:D40" ca="1">_xlfn.LET(
  _xlpm.s, EOMONTH(B1, 0) + 1,
  _xlpm.m, EDATE(_xlpm.s, _xlfn.SEQUENCE(12, 1, 0, 1)),
  _xlpm.mEnd, EDATE(_xlpm.s, 11),
  _xlpm.qMonths, {1,4,7,10},
  _xlpm.nextQuarterMonth, _xlfn.XLOOKUP(TRUE, _xlpm.qMonths &gt; MONTH(_xlpm.mEnd), _xlpm.qMonths, 1),
  _xlpm.qStartYear, YEAR(_xlpm.mEnd) + (_xlpm.nextQuarterMonth &lt;= MONTH(_xlpm.mEnd)),
  _xlpm.qStart, DATE(_xlpm.qStartYear, _xlpm.nextQuarterMonth, 1),
  _xlpm.q, EDATE(_xlpm.qStart, _xlfn.SEQUENCE(17, 1, 0, 3)),
  _xlpm.lastQ, EDATE(_xlpm.qStart, 3 * (ROWS(_xlpm.q) - 1)),
  _xlpm.yStart, DATE(YEAR(_xlpm.lastQ) + (MONTH(_xlpm.lastQ) &gt; 0), 1, 1),
  _xlpm.y, EDATE(_xlpm.yStart, _xlfn.SEQUENCE(9, 1, 0, 12)),
  _xlpm.all, _xlfn.VSTACK(_xlpm.m, _xlpm.q, _xlpm.y),
  TEXT(_xlpm.all, "MMM YY")
)</f>
        <v>May 26</v>
      </c>
      <c r="E3" s="1" t="str">
        <f ca="1">_xlfn.CONCAT("DI1",D3)</f>
        <v>DI1May 26</v>
      </c>
      <c r="F3" s="1" t="str">
        <f t="shared" ref="F3:F40" ca="1" si="0">_xlfn.CONCAT("DI1",VLOOKUP(LEFT(D3,3),$R$3:$S$14,2,0),RIGHT(D3,2))</f>
        <v>DI1K26</v>
      </c>
      <c r="G3" s="1" t="str">
        <f ca="1">[1]All!I4</f>
        <v>14.634</v>
      </c>
      <c r="H3" s="16">
        <f ca="1">Sheet1!P4</f>
        <v>7.2789126234755919E-2</v>
      </c>
      <c r="I3" s="16" t="str">
        <f ca="1">IFERROR([1]All!L4,"")</f>
        <v/>
      </c>
      <c r="J3" s="1" t="str">
        <f t="shared" ref="J3:J40" ca="1" si="1">RIGHT(F3,3)</f>
        <v>K26</v>
      </c>
      <c r="O3" s="46">
        <v>36892</v>
      </c>
      <c r="R3" s="47" t="s">
        <v>43</v>
      </c>
      <c r="S3" s="48" t="s">
        <v>44</v>
      </c>
    </row>
    <row r="4" spans="1:19" x14ac:dyDescent="0.25">
      <c r="C4" s="45">
        <f t="shared" ref="C4:C40" ca="1" si="2">WORKDAY(DATEVALUE("1 " &amp; LEFT(D4,3) &amp; " 20" &amp; RIGHT(D4,2)) - 1, 1,$O$3:$O$1266)</f>
        <v>46174</v>
      </c>
      <c r="D4" s="1" t="str">
        <f ca="1"/>
        <v>Jun 26</v>
      </c>
      <c r="E4" s="1" t="str">
        <f t="shared" ref="E4:E40" ca="1" si="3">_xlfn.CONCAT("DI1",D4)</f>
        <v>DI1Jun 26</v>
      </c>
      <c r="F4" s="1" t="str">
        <f t="shared" ca="1" si="0"/>
        <v>DI1M26</v>
      </c>
      <c r="G4" s="1" t="str">
        <f ca="1">[1]All!I5</f>
        <v>14.468</v>
      </c>
      <c r="H4" s="16">
        <f ca="1">Sheet1!P5</f>
        <v>0.20325130207381265</v>
      </c>
      <c r="I4" s="16" t="str">
        <f ca="1">IFERROR([1]All!L5,"")</f>
        <v/>
      </c>
      <c r="J4" s="1" t="str">
        <f t="shared" ca="1" si="1"/>
        <v>M26</v>
      </c>
      <c r="O4" s="49">
        <v>36948</v>
      </c>
      <c r="R4" s="50" t="s">
        <v>45</v>
      </c>
      <c r="S4" s="51" t="s">
        <v>46</v>
      </c>
    </row>
    <row r="5" spans="1:19" x14ac:dyDescent="0.25">
      <c r="C5" s="45">
        <f t="shared" ca="1" si="2"/>
        <v>46204</v>
      </c>
      <c r="D5" s="1" t="str">
        <f ca="1"/>
        <v>Jul 26</v>
      </c>
      <c r="E5" s="1" t="str">
        <f t="shared" ca="1" si="3"/>
        <v>DI1Jul 26</v>
      </c>
      <c r="F5" s="1" t="str">
        <f t="shared" ca="1" si="0"/>
        <v>DI1N26</v>
      </c>
      <c r="G5" s="1" t="str">
        <f ca="1">[1]All!I6</f>
        <v>14.398</v>
      </c>
      <c r="H5" s="16">
        <f ca="1">Sheet1!P6</f>
        <v>0.33736772506157509</v>
      </c>
      <c r="I5" s="16" t="str">
        <f ca="1">IFERROR([1]All!L6,"")</f>
        <v/>
      </c>
      <c r="J5" s="1" t="str">
        <f t="shared" ca="1" si="1"/>
        <v>N26</v>
      </c>
      <c r="O5" s="49">
        <v>36949</v>
      </c>
      <c r="R5" s="50" t="s">
        <v>47</v>
      </c>
      <c r="S5" s="51" t="s">
        <v>48</v>
      </c>
    </row>
    <row r="6" spans="1:19" x14ac:dyDescent="0.25">
      <c r="C6" s="45">
        <f t="shared" ca="1" si="2"/>
        <v>46237</v>
      </c>
      <c r="D6" s="1" t="str">
        <f ca="1"/>
        <v>Aug 26</v>
      </c>
      <c r="E6" s="1" t="str">
        <f t="shared" ca="1" si="3"/>
        <v>DI1Aug 26</v>
      </c>
      <c r="F6" s="1" t="str">
        <f t="shared" ca="1" si="0"/>
        <v>DI1Q26</v>
      </c>
      <c r="G6" s="1" t="str">
        <f ca="1">[1]All!I7</f>
        <v>14.313</v>
      </c>
      <c r="H6" s="16">
        <f ca="1">Sheet1!P7</f>
        <v>0.48111261485945966</v>
      </c>
      <c r="I6" s="16" t="str">
        <f ca="1">IFERROR([1]All!L7,"")</f>
        <v/>
      </c>
      <c r="J6" s="1" t="str">
        <f t="shared" ca="1" si="1"/>
        <v>Q26</v>
      </c>
      <c r="O6" s="49">
        <v>36994</v>
      </c>
      <c r="R6" s="50" t="s">
        <v>49</v>
      </c>
      <c r="S6" s="51" t="s">
        <v>50</v>
      </c>
    </row>
    <row r="7" spans="1:19" x14ac:dyDescent="0.25">
      <c r="C7" s="45">
        <f t="shared" ca="1" si="2"/>
        <v>46266</v>
      </c>
      <c r="D7" s="1" t="str">
        <f ca="1"/>
        <v>Sep 26</v>
      </c>
      <c r="E7" s="1" t="str">
        <f t="shared" ca="1" si="3"/>
        <v>DI1Sep 26</v>
      </c>
      <c r="F7" s="1" t="str">
        <f t="shared" ca="1" si="0"/>
        <v>DI1U26</v>
      </c>
      <c r="G7" s="1" t="str">
        <f ca="1">[1]All!I8</f>
        <v>14.225</v>
      </c>
      <c r="H7" s="16">
        <f ca="1">Sheet1!P8</f>
        <v>0.60964311906830582</v>
      </c>
      <c r="I7" s="16" t="str">
        <f ca="1">IFERROR([1]All!L8,"")</f>
        <v/>
      </c>
      <c r="J7" s="1" t="str">
        <f t="shared" ca="1" si="1"/>
        <v>U26</v>
      </c>
      <c r="O7" s="49">
        <v>37002</v>
      </c>
      <c r="R7" s="50" t="s">
        <v>51</v>
      </c>
      <c r="S7" s="51" t="s">
        <v>52</v>
      </c>
    </row>
    <row r="8" spans="1:19" x14ac:dyDescent="0.25">
      <c r="C8" s="45">
        <f t="shared" ca="1" si="2"/>
        <v>46296</v>
      </c>
      <c r="D8" s="1" t="str">
        <f ca="1"/>
        <v>Oct 26</v>
      </c>
      <c r="E8" s="1" t="str">
        <f t="shared" ca="1" si="3"/>
        <v>DI1Oct 26</v>
      </c>
      <c r="F8" s="1" t="str">
        <f t="shared" ca="1" si="0"/>
        <v>DI1V26</v>
      </c>
      <c r="G8" s="1" t="str">
        <f ca="1">[1]All!I9</f>
        <v>14.161</v>
      </c>
      <c r="H8" s="16">
        <f ca="1">Sheet1!P9</f>
        <v>0.73541364806890042</v>
      </c>
      <c r="I8" s="16" t="str">
        <f ca="1">IFERROR([1]All!L9,"")</f>
        <v/>
      </c>
      <c r="J8" s="1" t="str">
        <f t="shared" ca="1" si="1"/>
        <v>V26</v>
      </c>
      <c r="O8" s="49">
        <v>37012</v>
      </c>
      <c r="R8" s="50" t="s">
        <v>53</v>
      </c>
      <c r="S8" s="51" t="s">
        <v>54</v>
      </c>
    </row>
    <row r="9" spans="1:19" x14ac:dyDescent="0.25">
      <c r="C9" s="45">
        <f t="shared" ca="1" si="2"/>
        <v>46329</v>
      </c>
      <c r="D9" s="1" t="str">
        <f ca="1"/>
        <v>Nov 26</v>
      </c>
      <c r="E9" s="1" t="str">
        <f t="shared" ca="1" si="3"/>
        <v>DI1Nov 26</v>
      </c>
      <c r="F9" s="1" t="str">
        <f t="shared" ca="1" si="0"/>
        <v>DI1X26</v>
      </c>
      <c r="G9" s="1" t="str">
        <f ca="1">[1]All!I10</f>
        <v>14.102</v>
      </c>
      <c r="H9" s="16">
        <f ca="1">Sheet1!P10</f>
        <v>0.85857376698606036</v>
      </c>
      <c r="I9" s="16" t="str">
        <f ca="1">IFERROR([1]All!L10,"")</f>
        <v/>
      </c>
      <c r="J9" s="1" t="str">
        <f t="shared" ca="1" si="1"/>
        <v>X26</v>
      </c>
      <c r="O9" s="49">
        <v>37056</v>
      </c>
      <c r="R9" s="50" t="s">
        <v>55</v>
      </c>
      <c r="S9" s="51" t="s">
        <v>56</v>
      </c>
    </row>
    <row r="10" spans="1:19" x14ac:dyDescent="0.25">
      <c r="C10" s="45">
        <f t="shared" ca="1" si="2"/>
        <v>46357</v>
      </c>
      <c r="D10" s="1" t="str">
        <f ca="1"/>
        <v>Dec 26</v>
      </c>
      <c r="E10" s="1" t="str">
        <f t="shared" ca="1" si="3"/>
        <v>DI1Dec 26</v>
      </c>
      <c r="F10" s="1" t="str">
        <f t="shared" ca="1" si="0"/>
        <v>DI1Z26</v>
      </c>
      <c r="G10" s="1" t="str">
        <f ca="1">[1]All!I11</f>
        <v>14.054</v>
      </c>
      <c r="H10" s="16">
        <f ca="1">Sheet1!P11</f>
        <v>0.96777318932604073</v>
      </c>
      <c r="I10" s="16" t="str">
        <f ca="1">IFERROR([1]All!L11,"")</f>
        <v/>
      </c>
      <c r="J10" s="1" t="str">
        <f t="shared" ca="1" si="1"/>
        <v>Z26</v>
      </c>
      <c r="O10" s="49">
        <v>37141</v>
      </c>
      <c r="R10" s="50" t="s">
        <v>57</v>
      </c>
      <c r="S10" s="51" t="s">
        <v>58</v>
      </c>
    </row>
    <row r="11" spans="1:19" x14ac:dyDescent="0.25">
      <c r="C11" s="45">
        <f t="shared" ca="1" si="2"/>
        <v>46391</v>
      </c>
      <c r="D11" s="1" t="str">
        <f ca="1"/>
        <v>Jan 27</v>
      </c>
      <c r="E11" s="1" t="str">
        <f t="shared" ca="1" si="3"/>
        <v>DI1Jan 27</v>
      </c>
      <c r="F11" s="1" t="str">
        <f t="shared" ca="1" si="0"/>
        <v>DI1F27</v>
      </c>
      <c r="G11" s="1" t="str">
        <f ca="1">[1]All!I12</f>
        <v>13.988</v>
      </c>
      <c r="H11" s="16">
        <f ca="1">Sheet1!P12</f>
        <v>1.0918661373356231</v>
      </c>
      <c r="I11" s="16">
        <f ca="1">IFERROR([1]All!L12,"")</f>
        <v>13.969576968272621</v>
      </c>
      <c r="J11" s="1" t="str">
        <f t="shared" ca="1" si="1"/>
        <v>F27</v>
      </c>
      <c r="O11" s="49">
        <v>37176</v>
      </c>
      <c r="R11" s="50" t="s">
        <v>59</v>
      </c>
      <c r="S11" s="51" t="s">
        <v>60</v>
      </c>
    </row>
    <row r="12" spans="1:19" x14ac:dyDescent="0.25">
      <c r="C12" s="45">
        <f t="shared" ca="1" si="2"/>
        <v>46419</v>
      </c>
      <c r="D12" s="1" t="str">
        <f ca="1"/>
        <v>Feb 27</v>
      </c>
      <c r="E12" s="1" t="str">
        <f t="shared" ca="1" si="3"/>
        <v>DI1Feb 27</v>
      </c>
      <c r="F12" s="1" t="str">
        <f t="shared" ca="1" si="0"/>
        <v>DI1G27</v>
      </c>
      <c r="G12" s="1" t="str">
        <f ca="1">[1]All!I13</f>
        <v>13.936</v>
      </c>
      <c r="H12" s="16">
        <f ca="1">Sheet1!P13</f>
        <v>1.2022919479428449</v>
      </c>
      <c r="I12" s="16" t="str">
        <f ca="1">IFERROR([1]All!L13,"")</f>
        <v/>
      </c>
      <c r="J12" s="1" t="str">
        <f t="shared" ca="1" si="1"/>
        <v>G27</v>
      </c>
      <c r="O12" s="49">
        <v>37197</v>
      </c>
      <c r="R12" s="50" t="s">
        <v>61</v>
      </c>
      <c r="S12" s="51" t="s">
        <v>62</v>
      </c>
    </row>
    <row r="13" spans="1:19" x14ac:dyDescent="0.25">
      <c r="C13" s="45">
        <f t="shared" ca="1" si="2"/>
        <v>46447</v>
      </c>
      <c r="D13" s="1" t="str">
        <f ca="1"/>
        <v>Mar 27</v>
      </c>
      <c r="E13" s="1" t="str">
        <f t="shared" ca="1" si="3"/>
        <v>DI1Mar 27</v>
      </c>
      <c r="F13" s="1" t="str">
        <f t="shared" ca="1" si="0"/>
        <v>DI1H27</v>
      </c>
      <c r="G13" s="1" t="str">
        <f ca="1">[1]All!I14</f>
        <v>13.888</v>
      </c>
      <c r="H13" s="16">
        <f ca="1">Sheet1!P14</f>
        <v>1.299895962958824</v>
      </c>
      <c r="I13" s="16" t="str">
        <f ca="1">IFERROR([1]All!L14,"")</f>
        <v/>
      </c>
      <c r="J13" s="1" t="str">
        <f t="shared" ca="1" si="1"/>
        <v>H27</v>
      </c>
      <c r="O13" s="49">
        <v>37210</v>
      </c>
      <c r="R13" s="50" t="s">
        <v>63</v>
      </c>
      <c r="S13" s="51" t="s">
        <v>64</v>
      </c>
    </row>
    <row r="14" spans="1:19" ht="15.75" thickBot="1" x14ac:dyDescent="0.3">
      <c r="C14" s="45">
        <f t="shared" ca="1" si="2"/>
        <v>46478</v>
      </c>
      <c r="D14" s="1" t="str">
        <f ca="1"/>
        <v>Apr 27</v>
      </c>
      <c r="E14" s="1" t="str">
        <f t="shared" ca="1" si="3"/>
        <v>DI1Apr 27</v>
      </c>
      <c r="F14" s="1" t="str">
        <f t="shared" ca="1" si="0"/>
        <v>DI1J27</v>
      </c>
      <c r="G14" s="1" t="str">
        <f ca="1">[1]All!I15</f>
        <v>13.827</v>
      </c>
      <c r="H14" s="16">
        <f ca="1">Sheet1!P15</f>
        <v>1.4169933478842722</v>
      </c>
      <c r="I14" s="16">
        <f ca="1">IFERROR([1]All!L15,"")</f>
        <v>13.797500000000001</v>
      </c>
      <c r="J14" s="1" t="str">
        <f t="shared" ca="1" si="1"/>
        <v>J27</v>
      </c>
      <c r="O14" s="49">
        <v>37250</v>
      </c>
      <c r="R14" s="52" t="s">
        <v>65</v>
      </c>
      <c r="S14" s="53" t="s">
        <v>66</v>
      </c>
    </row>
    <row r="15" spans="1:19" x14ac:dyDescent="0.25">
      <c r="C15" s="45">
        <f t="shared" ca="1" si="2"/>
        <v>46569</v>
      </c>
      <c r="D15" s="1" t="str">
        <f ca="1"/>
        <v>Jul 27</v>
      </c>
      <c r="E15" s="1" t="str">
        <f t="shared" ca="1" si="3"/>
        <v>DI1Jul 27</v>
      </c>
      <c r="F15" s="1" t="str">
        <f t="shared" ca="1" si="0"/>
        <v>DI1N27</v>
      </c>
      <c r="G15" s="1" t="str">
        <f ca="1">[1]All!I16</f>
        <v>13.649</v>
      </c>
      <c r="H15" s="16">
        <f ca="1">Sheet1!P16</f>
        <v>1.7394217408638304</v>
      </c>
      <c r="I15" s="16">
        <f ca="1">IFERROR([1]All!L16,"")</f>
        <v>13.62</v>
      </c>
      <c r="J15" s="1" t="str">
        <f t="shared" ca="1" si="1"/>
        <v>N27</v>
      </c>
      <c r="O15" s="49">
        <v>37257</v>
      </c>
    </row>
    <row r="16" spans="1:19" x14ac:dyDescent="0.25">
      <c r="C16" s="45">
        <f t="shared" ca="1" si="2"/>
        <v>46661</v>
      </c>
      <c r="D16" s="1" t="str">
        <f ca="1"/>
        <v>Oct 27</v>
      </c>
      <c r="E16" s="1" t="str">
        <f t="shared" ca="1" si="3"/>
        <v>DI1Oct 27</v>
      </c>
      <c r="F16" s="1" t="str">
        <f t="shared" ca="1" si="0"/>
        <v>DI1V27</v>
      </c>
      <c r="G16" s="1" t="str">
        <f ca="1">[1]All!I17</f>
        <v>13.510</v>
      </c>
      <c r="H16" s="16">
        <f ca="1">Sheet1!P17</f>
        <v>2.0513141014481122</v>
      </c>
      <c r="I16" s="16">
        <f ca="1">IFERROR([1]All!L17,"")</f>
        <v>13.457777777777778</v>
      </c>
      <c r="J16" s="1" t="str">
        <f t="shared" ca="1" si="1"/>
        <v>V27</v>
      </c>
      <c r="O16" s="49">
        <v>37298</v>
      </c>
    </row>
    <row r="17" spans="3:15" x14ac:dyDescent="0.25">
      <c r="C17" s="45">
        <f t="shared" ca="1" si="2"/>
        <v>46755</v>
      </c>
      <c r="D17" s="1" t="str">
        <f ca="1"/>
        <v>Jan 28</v>
      </c>
      <c r="E17" s="1" t="str">
        <f t="shared" ca="1" si="3"/>
        <v>DI1Jan 28</v>
      </c>
      <c r="F17" s="1" t="str">
        <f t="shared" ca="1" si="0"/>
        <v>DI1F28</v>
      </c>
      <c r="G17" s="1" t="str">
        <f ca="1">[1]All!I18</f>
        <v>13.379</v>
      </c>
      <c r="H17" s="16">
        <f ca="1">Sheet1!P18</f>
        <v>2.335761103293827</v>
      </c>
      <c r="I17" s="16">
        <f ca="1">IFERROR([1]All!L18,"")</f>
        <v>13.35950900163666</v>
      </c>
      <c r="J17" s="1" t="str">
        <f t="shared" ca="1" si="1"/>
        <v>F28</v>
      </c>
      <c r="O17" s="49">
        <v>37299</v>
      </c>
    </row>
    <row r="18" spans="3:15" x14ac:dyDescent="0.25">
      <c r="C18" s="45">
        <f t="shared" ca="1" si="2"/>
        <v>46846</v>
      </c>
      <c r="D18" s="1" t="str">
        <f ca="1"/>
        <v>Apr 28</v>
      </c>
      <c r="E18" s="1" t="str">
        <f t="shared" ca="1" si="3"/>
        <v>DI1Apr 28</v>
      </c>
      <c r="F18" s="1" t="str">
        <f t="shared" ca="1" si="0"/>
        <v>DI1J28</v>
      </c>
      <c r="G18" s="1" t="str">
        <f ca="1">[1]All!I19</f>
        <v>13.301</v>
      </c>
      <c r="H18" s="16">
        <f ca="1">Sheet1!P19</f>
        <v>2.6004738729814281</v>
      </c>
      <c r="I18" s="16">
        <f ca="1">IFERROR([1]All!L19,"")</f>
        <v>13.264999999999999</v>
      </c>
      <c r="J18" s="1" t="str">
        <f t="shared" ca="1" si="1"/>
        <v>J28</v>
      </c>
      <c r="O18" s="49">
        <v>37344</v>
      </c>
    </row>
    <row r="19" spans="3:15" x14ac:dyDescent="0.25">
      <c r="C19" s="45">
        <f t="shared" ca="1" si="2"/>
        <v>46937</v>
      </c>
      <c r="D19" s="1" t="str">
        <f ca="1"/>
        <v>Jul 28</v>
      </c>
      <c r="E19" s="1" t="str">
        <f t="shared" ca="1" si="3"/>
        <v>DI1Jul 28</v>
      </c>
      <c r="F19" s="1" t="str">
        <f t="shared" ca="1" si="0"/>
        <v>DI1N28</v>
      </c>
      <c r="G19" s="1" t="str">
        <f ca="1">[1]All!I20</f>
        <v>13.246</v>
      </c>
      <c r="H19" s="16">
        <f ca="1">Sheet1!P20</f>
        <v>2.839599673968153</v>
      </c>
      <c r="I19" s="16">
        <f ca="1">IFERROR([1]All!L20,"")</f>
        <v>13.215774647887324</v>
      </c>
      <c r="J19" s="1" t="str">
        <f t="shared" ca="1" si="1"/>
        <v>N28</v>
      </c>
      <c r="O19" s="49">
        <v>37367</v>
      </c>
    </row>
    <row r="20" spans="3:15" x14ac:dyDescent="0.25">
      <c r="C20" s="45">
        <f t="shared" ca="1" si="2"/>
        <v>47028</v>
      </c>
      <c r="D20" s="1" t="str">
        <f ca="1"/>
        <v>Oct 28</v>
      </c>
      <c r="E20" s="1" t="str">
        <f t="shared" ca="1" si="3"/>
        <v>DI1Oct 28</v>
      </c>
      <c r="F20" s="1" t="str">
        <f t="shared" ca="1" si="0"/>
        <v>DI1V28</v>
      </c>
      <c r="G20" s="1" t="str">
        <f ca="1">[1]All!I21</f>
        <v>13.222</v>
      </c>
      <c r="H20" s="16">
        <f ca="1">Sheet1!P21</f>
        <v>3.0713452500612428</v>
      </c>
      <c r="I20" s="16" t="str">
        <f ca="1">IFERROR([1]All!L21,"")</f>
        <v/>
      </c>
      <c r="J20" s="1" t="str">
        <f t="shared" ca="1" si="1"/>
        <v>V28</v>
      </c>
      <c r="O20" s="49">
        <v>37377</v>
      </c>
    </row>
    <row r="21" spans="3:15" x14ac:dyDescent="0.25">
      <c r="C21" s="45">
        <f t="shared" ca="1" si="2"/>
        <v>47120</v>
      </c>
      <c r="D21" s="1" t="str">
        <f ca="1"/>
        <v>Jan 29</v>
      </c>
      <c r="E21" s="1" t="str">
        <f t="shared" ca="1" si="3"/>
        <v>DI1Jan 29</v>
      </c>
      <c r="F21" s="1" t="str">
        <f t="shared" ca="1" si="0"/>
        <v>DI1F29</v>
      </c>
      <c r="G21" s="1" t="str">
        <f ca="1">[1]All!I22</f>
        <v>13.200</v>
      </c>
      <c r="H21" s="16">
        <f ca="1">Sheet1!P22</f>
        <v>3.2736787868522628</v>
      </c>
      <c r="I21" s="16">
        <f ca="1">IFERROR([1]All!L22,"")</f>
        <v>13.166781002638523</v>
      </c>
      <c r="J21" s="1" t="str">
        <f t="shared" ca="1" si="1"/>
        <v>F29</v>
      </c>
      <c r="O21" s="49">
        <v>37406</v>
      </c>
    </row>
    <row r="22" spans="3:15" x14ac:dyDescent="0.25">
      <c r="C22" s="45">
        <f t="shared" ca="1" si="2"/>
        <v>47210</v>
      </c>
      <c r="D22" s="1" t="str">
        <f ca="1"/>
        <v>Apr 29</v>
      </c>
      <c r="E22" s="1" t="str">
        <f t="shared" ca="1" si="3"/>
        <v>DI1Apr 29</v>
      </c>
      <c r="F22" s="1" t="str">
        <f t="shared" ca="1" si="0"/>
        <v>DI1J29</v>
      </c>
      <c r="G22" s="1" t="str">
        <f ca="1">[1]All!I23</f>
        <v>13.208</v>
      </c>
      <c r="H22" s="16">
        <f ca="1">Sheet1!P23</f>
        <v>3.4617143068121199</v>
      </c>
      <c r="I22" s="16" t="str">
        <f ca="1">IFERROR([1]All!L23,"")</f>
        <v/>
      </c>
      <c r="J22" s="1" t="str">
        <f t="shared" ca="1" si="1"/>
        <v>J29</v>
      </c>
      <c r="O22" s="49">
        <v>37506</v>
      </c>
    </row>
    <row r="23" spans="3:15" x14ac:dyDescent="0.25">
      <c r="C23" s="45">
        <f t="shared" ca="1" si="2"/>
        <v>47301</v>
      </c>
      <c r="D23" s="1" t="str">
        <f ca="1"/>
        <v>Jul 29</v>
      </c>
      <c r="E23" s="1" t="str">
        <f t="shared" ca="1" si="3"/>
        <v>DI1Jul 29</v>
      </c>
      <c r="F23" s="1" t="str">
        <f t="shared" ca="1" si="0"/>
        <v>DI1N29</v>
      </c>
      <c r="G23" s="1" t="str">
        <f ca="1">[1]All!I24</f>
        <v>13.221</v>
      </c>
      <c r="H23" s="16">
        <f ca="1">Sheet1!P24</f>
        <v>3.6403111931185075</v>
      </c>
      <c r="I23" s="16">
        <f ca="1">IFERROR([1]All!L24,"")</f>
        <v>13.182500000000001</v>
      </c>
      <c r="J23" s="1" t="str">
        <f t="shared" ca="1" si="1"/>
        <v>N29</v>
      </c>
      <c r="O23" s="49">
        <v>37541</v>
      </c>
    </row>
    <row r="24" spans="3:15" x14ac:dyDescent="0.25">
      <c r="C24" s="45">
        <f t="shared" ca="1" si="2"/>
        <v>47392</v>
      </c>
      <c r="D24" s="1" t="str">
        <f ca="1"/>
        <v>Oct 29</v>
      </c>
      <c r="E24" s="1" t="str">
        <f t="shared" ca="1" si="3"/>
        <v>DI1Oct 29</v>
      </c>
      <c r="F24" s="1" t="str">
        <f t="shared" ca="1" si="0"/>
        <v>DI1V29</v>
      </c>
      <c r="G24" s="1" t="str">
        <f ca="1">[1]All!I25</f>
        <v>13.229</v>
      </c>
      <c r="H24" s="16">
        <f ca="1">Sheet1!P25</f>
        <v>3.8075471646166426</v>
      </c>
      <c r="I24" s="16" t="str">
        <f ca="1">IFERROR([1]All!L25,"")</f>
        <v/>
      </c>
      <c r="J24" s="1" t="str">
        <f t="shared" ca="1" si="1"/>
        <v>V29</v>
      </c>
      <c r="O24" s="49">
        <v>37562</v>
      </c>
    </row>
    <row r="25" spans="3:15" x14ac:dyDescent="0.25">
      <c r="C25" s="45">
        <f t="shared" ca="1" si="2"/>
        <v>47485</v>
      </c>
      <c r="D25" s="1" t="str">
        <f ca="1"/>
        <v>Jan 30</v>
      </c>
      <c r="E25" s="1" t="str">
        <f t="shared" ca="1" si="3"/>
        <v>DI1Jan 30</v>
      </c>
      <c r="F25" s="1" t="str">
        <f t="shared" ca="1" si="0"/>
        <v>DI1F30</v>
      </c>
      <c r="G25" s="1" t="str">
        <f ca="1">[1]All!I26</f>
        <v>13.242</v>
      </c>
      <c r="H25" s="16">
        <f ca="1">Sheet1!P26</f>
        <v>3.9528292102715148</v>
      </c>
      <c r="I25" s="16">
        <f ca="1">IFERROR([1]All!L26,"")</f>
        <v>13.200392156862746</v>
      </c>
      <c r="J25" s="1" t="str">
        <f t="shared" ca="1" si="1"/>
        <v>F30</v>
      </c>
      <c r="O25" s="49">
        <v>37575</v>
      </c>
    </row>
    <row r="26" spans="3:15" x14ac:dyDescent="0.25">
      <c r="C26" s="45">
        <f t="shared" ca="1" si="2"/>
        <v>47574</v>
      </c>
      <c r="D26" s="1" t="str">
        <f ca="1"/>
        <v>Apr 30</v>
      </c>
      <c r="E26" s="1" t="str">
        <f t="shared" ca="1" si="3"/>
        <v>DI1Apr 30</v>
      </c>
      <c r="F26" s="1" t="str">
        <f t="shared" ca="1" si="0"/>
        <v>DI1J30</v>
      </c>
      <c r="G26" s="1" t="str">
        <f ca="1">[1]All!I27</f>
        <v>13.245</v>
      </c>
      <c r="H26" s="16">
        <f ca="1">Sheet1!P27</f>
        <v>4.0874340431680771</v>
      </c>
      <c r="I26" s="16" t="str">
        <f ca="1">IFERROR([1]All!L27,"")</f>
        <v/>
      </c>
      <c r="J26" s="1" t="str">
        <f t="shared" ca="1" si="1"/>
        <v>J30</v>
      </c>
      <c r="O26" s="49">
        <v>37615</v>
      </c>
    </row>
    <row r="27" spans="3:15" x14ac:dyDescent="0.25">
      <c r="C27" s="45">
        <f t="shared" ca="1" si="2"/>
        <v>47665</v>
      </c>
      <c r="D27" s="1" t="str">
        <f ca="1"/>
        <v>Jul 30</v>
      </c>
      <c r="E27" s="1" t="str">
        <f t="shared" ca="1" si="3"/>
        <v>DI1Jul 30</v>
      </c>
      <c r="F27" s="1" t="str">
        <f t="shared" ca="1" si="0"/>
        <v>DI1N30</v>
      </c>
      <c r="G27" s="1" t="str">
        <f ca="1">[1]All!I28</f>
        <v>13.265</v>
      </c>
      <c r="H27" s="16">
        <f ca="1">Sheet1!P28</f>
        <v>4.2091244491096473</v>
      </c>
      <c r="I27" s="16" t="str">
        <f ca="1">IFERROR([1]All!L28,"")</f>
        <v/>
      </c>
      <c r="J27" s="1" t="str">
        <f t="shared" ca="1" si="1"/>
        <v>N30</v>
      </c>
      <c r="O27" s="49">
        <v>37622</v>
      </c>
    </row>
    <row r="28" spans="3:15" x14ac:dyDescent="0.25">
      <c r="C28" s="45">
        <f t="shared" ca="1" si="2"/>
        <v>47757</v>
      </c>
      <c r="D28" s="1" t="str">
        <f ca="1"/>
        <v>Oct 30</v>
      </c>
      <c r="E28" s="1" t="str">
        <f t="shared" ca="1" si="3"/>
        <v>DI1Oct 30</v>
      </c>
      <c r="F28" s="1" t="str">
        <f t="shared" ca="1" si="0"/>
        <v>DI1V30</v>
      </c>
      <c r="G28" s="1" t="str">
        <f ca="1">[1]All!I29</f>
        <v>13.275</v>
      </c>
      <c r="H28" s="16">
        <f ca="1">Sheet1!P29</f>
        <v>4.327983354536487</v>
      </c>
      <c r="I28" s="16" t="str">
        <f ca="1">IFERROR([1]All!L29,"")</f>
        <v/>
      </c>
      <c r="J28" s="1" t="str">
        <f t="shared" ca="1" si="1"/>
        <v>V30</v>
      </c>
      <c r="O28" s="49">
        <v>37683</v>
      </c>
    </row>
    <row r="29" spans="3:15" x14ac:dyDescent="0.25">
      <c r="C29" s="45">
        <f t="shared" ca="1" si="2"/>
        <v>47850</v>
      </c>
      <c r="D29" s="1" t="str">
        <f ca="1"/>
        <v>Jan 31</v>
      </c>
      <c r="E29" s="1" t="str">
        <f t="shared" ca="1" si="3"/>
        <v>DI1Jan 31</v>
      </c>
      <c r="F29" s="1" t="str">
        <f t="shared" ca="1" si="0"/>
        <v>DI1F31</v>
      </c>
      <c r="G29" s="1" t="str">
        <f ca="1">[1]All!I30</f>
        <v>13.298</v>
      </c>
      <c r="H29" s="16">
        <f ca="1">Sheet1!P30</f>
        <v>4.4268643051187748</v>
      </c>
      <c r="I29" s="16">
        <f ca="1">IFERROR([1]All!L30,"")</f>
        <v>13.263680781758957</v>
      </c>
      <c r="J29" s="1" t="str">
        <f t="shared" ca="1" si="1"/>
        <v>F31</v>
      </c>
      <c r="O29" s="49">
        <v>37684</v>
      </c>
    </row>
    <row r="30" spans="3:15" x14ac:dyDescent="0.25">
      <c r="C30" s="45">
        <f t="shared" ca="1" si="2"/>
        <v>47939</v>
      </c>
      <c r="D30" s="1" t="str">
        <f ca="1"/>
        <v>Apr 31</v>
      </c>
      <c r="E30" s="1" t="str">
        <f t="shared" ca="1" si="3"/>
        <v>DI1Apr 31</v>
      </c>
      <c r="F30" s="1" t="str">
        <f t="shared" ca="1" si="0"/>
        <v>DI1J31</v>
      </c>
      <c r="G30" s="1" t="str">
        <f ca="1">[1]All!I31</f>
        <v>13.313</v>
      </c>
      <c r="H30" s="16">
        <f ca="1">Sheet1!P31</f>
        <v>4.5137119244226103</v>
      </c>
      <c r="I30" s="16" t="str">
        <f ca="1">IFERROR([1]All!L31,"")</f>
        <v/>
      </c>
      <c r="J30" s="1" t="str">
        <f t="shared" ca="1" si="1"/>
        <v>J31</v>
      </c>
      <c r="O30" s="49">
        <v>37729</v>
      </c>
    </row>
    <row r="31" spans="3:15" x14ac:dyDescent="0.25">
      <c r="C31" s="45">
        <f t="shared" ca="1" si="2"/>
        <v>48030</v>
      </c>
      <c r="D31" s="1" t="str">
        <f ca="1"/>
        <v>Jul 31</v>
      </c>
      <c r="E31" s="1" t="str">
        <f t="shared" ca="1" si="3"/>
        <v>DI1Jul 31</v>
      </c>
      <c r="F31" s="1" t="str">
        <f t="shared" ca="1" si="0"/>
        <v>DI1N31</v>
      </c>
      <c r="G31" s="1" t="str">
        <f ca="1">[1]All!I32</f>
        <v>13.333</v>
      </c>
      <c r="H31" s="16">
        <f ca="1">Sheet1!P32</f>
        <v>4.589584134071349</v>
      </c>
      <c r="I31" s="16" t="str">
        <f ca="1">IFERROR([1]All!L32,"")</f>
        <v/>
      </c>
      <c r="J31" s="1" t="str">
        <f t="shared" ca="1" si="1"/>
        <v>N31</v>
      </c>
      <c r="O31" s="49">
        <v>37732</v>
      </c>
    </row>
    <row r="32" spans="3:15" x14ac:dyDescent="0.25">
      <c r="C32" s="45">
        <f t="shared" ca="1" si="2"/>
        <v>48215</v>
      </c>
      <c r="D32" s="1" t="str">
        <f ca="1"/>
        <v>Jan 32</v>
      </c>
      <c r="E32" s="1" t="str">
        <f t="shared" ca="1" si="3"/>
        <v>DI1Jan 32</v>
      </c>
      <c r="F32" s="1" t="str">
        <f t="shared" ca="1" si="0"/>
        <v>DI1F32</v>
      </c>
      <c r="G32" s="1" t="str">
        <f ca="1">[1]All!I33</f>
        <v>13.378</v>
      </c>
      <c r="H32" s="16">
        <f ca="1">Sheet1!P33</f>
        <v>4.7199067405255422</v>
      </c>
      <c r="I32" s="16" t="str">
        <f ca="1">IFERROR([1]All!L33,"")</f>
        <v/>
      </c>
      <c r="J32" s="1" t="str">
        <f t="shared" ca="1" si="1"/>
        <v>F32</v>
      </c>
      <c r="O32" s="49">
        <v>37742</v>
      </c>
    </row>
    <row r="33" spans="3:15" x14ac:dyDescent="0.25">
      <c r="C33" s="45">
        <f t="shared" ca="1" si="2"/>
        <v>48582</v>
      </c>
      <c r="D33" s="1" t="str">
        <f ca="1"/>
        <v>Jan 33</v>
      </c>
      <c r="E33" s="1" t="str">
        <f t="shared" ca="1" si="3"/>
        <v>DI1Jan 33</v>
      </c>
      <c r="F33" s="1" t="str">
        <f t="shared" ca="1" si="0"/>
        <v>DI1F33</v>
      </c>
      <c r="G33" s="1" t="str">
        <f ca="1">[1]All!I34</f>
        <v>13.423</v>
      </c>
      <c r="H33" s="16">
        <f ca="1">Sheet1!P34</f>
        <v>4.8809763616708759</v>
      </c>
      <c r="I33" s="16">
        <f ca="1">IFERROR([1]All!L34,"")</f>
        <v>13.370428571428572</v>
      </c>
      <c r="J33" s="1" t="str">
        <f t="shared" ca="1" si="1"/>
        <v>F33</v>
      </c>
      <c r="O33" s="49">
        <v>37791</v>
      </c>
    </row>
    <row r="34" spans="3:15" x14ac:dyDescent="0.25">
      <c r="C34" s="45">
        <f t="shared" ca="1" si="2"/>
        <v>48946</v>
      </c>
      <c r="D34" s="1" t="str">
        <f ca="1"/>
        <v>Jan 34</v>
      </c>
      <c r="E34" s="1" t="str">
        <f t="shared" ca="1" si="3"/>
        <v>DI1Jan 34</v>
      </c>
      <c r="F34" s="1" t="str">
        <f t="shared" ca="1" si="0"/>
        <v>DI1F34</v>
      </c>
      <c r="G34" s="1" t="str">
        <f ca="1">[1]All!I35</f>
        <v>13.441</v>
      </c>
      <c r="H34" s="16">
        <f ca="1">Sheet1!P35</f>
        <v>4.9405822733723861</v>
      </c>
      <c r="I34" s="16" t="str">
        <f ca="1">IFERROR([1]All!L35,"")</f>
        <v/>
      </c>
      <c r="J34" s="1" t="str">
        <f t="shared" ca="1" si="1"/>
        <v>F34</v>
      </c>
      <c r="O34" s="49">
        <v>37871</v>
      </c>
    </row>
    <row r="35" spans="3:15" x14ac:dyDescent="0.25">
      <c r="C35" s="45">
        <f t="shared" ca="1" si="2"/>
        <v>49311</v>
      </c>
      <c r="D35" s="1" t="str">
        <f ca="1"/>
        <v>Jan 35</v>
      </c>
      <c r="E35" s="1" t="str">
        <f t="shared" ca="1" si="3"/>
        <v>DI1Jan 35</v>
      </c>
      <c r="F35" s="1" t="str">
        <f t="shared" ca="1" si="0"/>
        <v>DI1F35</v>
      </c>
      <c r="G35" s="1" t="str">
        <f ca="1">[1]All!I36</f>
        <v>13.443</v>
      </c>
      <c r="H35" s="16">
        <f ca="1">Sheet1!P36</f>
        <v>4.9224685085531608</v>
      </c>
      <c r="I35" s="16">
        <f ca="1">IFERROR([1]All!L36,"")</f>
        <v>13.452429906542056</v>
      </c>
      <c r="J35" s="1" t="str">
        <f t="shared" ca="1" si="1"/>
        <v>F35</v>
      </c>
      <c r="O35" s="49">
        <v>37906</v>
      </c>
    </row>
    <row r="36" spans="3:15" x14ac:dyDescent="0.25">
      <c r="C36" s="45">
        <f t="shared" ca="1" si="2"/>
        <v>49676</v>
      </c>
      <c r="D36" s="1" t="str">
        <f ca="1"/>
        <v>Jan 36</v>
      </c>
      <c r="E36" s="1" t="str">
        <f t="shared" ca="1" si="3"/>
        <v>DI1Jan 36</v>
      </c>
      <c r="F36" s="1" t="str">
        <f t="shared" ca="1" si="0"/>
        <v>DI1F36</v>
      </c>
      <c r="G36" s="1" t="str">
        <f ca="1">[1]All!I37</f>
        <v>13.437</v>
      </c>
      <c r="H36" s="16">
        <f ca="1">Sheet1!P37</f>
        <v>4.8441012587136356</v>
      </c>
      <c r="I36" s="16" t="str">
        <f ca="1">IFERROR([1]All!L37,"")</f>
        <v/>
      </c>
      <c r="J36" s="1" t="str">
        <f t="shared" ca="1" si="1"/>
        <v>F36</v>
      </c>
      <c r="O36" s="49">
        <v>37927</v>
      </c>
    </row>
    <row r="37" spans="3:15" x14ac:dyDescent="0.25">
      <c r="C37" s="45">
        <f t="shared" ca="1" si="2"/>
        <v>50042</v>
      </c>
      <c r="D37" s="1" t="str">
        <f ca="1"/>
        <v>Jan 37</v>
      </c>
      <c r="E37" s="1" t="str">
        <f t="shared" ca="1" si="3"/>
        <v>DI1Jan 37</v>
      </c>
      <c r="F37" s="1" t="str">
        <f t="shared" ca="1" si="0"/>
        <v>DI1F37</v>
      </c>
      <c r="G37" s="1" t="str">
        <f ca="1">[1]All!I38</f>
        <v>13.460</v>
      </c>
      <c r="H37" s="16">
        <f ca="1">Sheet1!P38</f>
        <v>4.7010380687753726</v>
      </c>
      <c r="I37" s="16">
        <f ca="1">IFERROR([1]All!L38,"")</f>
        <v>13.598316831683169</v>
      </c>
      <c r="J37" s="1" t="str">
        <f t="shared" ca="1" si="1"/>
        <v>F37</v>
      </c>
      <c r="O37" s="49">
        <v>37940</v>
      </c>
    </row>
    <row r="38" spans="3:15" x14ac:dyDescent="0.25">
      <c r="C38" s="45">
        <f t="shared" ca="1" si="2"/>
        <v>50409</v>
      </c>
      <c r="D38" s="1" t="str">
        <f ca="1"/>
        <v>Jan 38</v>
      </c>
      <c r="E38" s="1" t="str">
        <f t="shared" ca="1" si="3"/>
        <v>DI1Jan 38</v>
      </c>
      <c r="F38" s="1" t="str">
        <f t="shared" ca="1" si="0"/>
        <v>DI1F38</v>
      </c>
      <c r="G38" s="1" t="str">
        <f ca="1">[1]All!I39</f>
        <v>13.450</v>
      </c>
      <c r="H38" s="16">
        <f ca="1">Sheet1!P39</f>
        <v>4.5393984654184836</v>
      </c>
      <c r="I38" s="16" t="str">
        <f ca="1">IFERROR([1]All!L39,"")</f>
        <v/>
      </c>
      <c r="J38" s="1" t="str">
        <f t="shared" ca="1" si="1"/>
        <v>F38</v>
      </c>
      <c r="O38" s="49">
        <v>37980</v>
      </c>
    </row>
    <row r="39" spans="3:15" x14ac:dyDescent="0.25">
      <c r="C39" s="45">
        <f t="shared" ca="1" si="2"/>
        <v>50773</v>
      </c>
      <c r="D39" s="1" t="str">
        <f ca="1"/>
        <v>Jan 39</v>
      </c>
      <c r="E39" s="1" t="str">
        <f t="shared" ca="1" si="3"/>
        <v>DI1Jan 39</v>
      </c>
      <c r="F39" s="1" t="str">
        <f t="shared" ca="1" si="0"/>
        <v>DI1F39</v>
      </c>
      <c r="G39" s="1" t="str">
        <f ca="1">[1]All!I40</f>
        <v>13.432</v>
      </c>
      <c r="H39" s="16">
        <f ca="1">Sheet1!P40</f>
        <v>4.3550462462805557</v>
      </c>
      <c r="I39" s="16" t="str">
        <f ca="1">IFERROR([1]All!L40,"")</f>
        <v/>
      </c>
      <c r="J39" s="1" t="str">
        <f t="shared" ca="1" si="1"/>
        <v>F39</v>
      </c>
      <c r="O39" s="49">
        <v>37987</v>
      </c>
    </row>
    <row r="40" spans="3:15" x14ac:dyDescent="0.25">
      <c r="C40" s="45">
        <f t="shared" ca="1" si="2"/>
        <v>51137</v>
      </c>
      <c r="D40" s="1" t="str">
        <f ca="1"/>
        <v>Jan 40</v>
      </c>
      <c r="E40" s="1" t="str">
        <f t="shared" ca="1" si="3"/>
        <v>DI1Jan 40</v>
      </c>
      <c r="F40" s="1" t="str">
        <f t="shared" ca="1" si="0"/>
        <v>DI1F40</v>
      </c>
      <c r="G40" s="1" t="str">
        <f ca="1">[1]All!I41</f>
        <v>13.415</v>
      </c>
      <c r="H40" s="16">
        <f ca="1">Sheet1!P41</f>
        <v>4.152994227107718</v>
      </c>
      <c r="I40" s="16" t="str">
        <f ca="1">IFERROR([1]All!L41,"")</f>
        <v/>
      </c>
      <c r="J40" s="1" t="str">
        <f t="shared" ca="1" si="1"/>
        <v>F40</v>
      </c>
      <c r="O40" s="49">
        <v>38040</v>
      </c>
    </row>
    <row r="41" spans="3:15" x14ac:dyDescent="0.25">
      <c r="O41" s="49">
        <v>38041</v>
      </c>
    </row>
    <row r="42" spans="3:15" x14ac:dyDescent="0.25">
      <c r="O42" s="49">
        <v>38086</v>
      </c>
    </row>
    <row r="43" spans="3:15" x14ac:dyDescent="0.25">
      <c r="O43" s="49">
        <v>38098</v>
      </c>
    </row>
    <row r="44" spans="3:15" x14ac:dyDescent="0.25">
      <c r="O44" s="49">
        <v>38108</v>
      </c>
    </row>
    <row r="45" spans="3:15" x14ac:dyDescent="0.25">
      <c r="O45" s="49">
        <v>38148</v>
      </c>
    </row>
    <row r="46" spans="3:15" x14ac:dyDescent="0.25">
      <c r="O46" s="49">
        <v>38237</v>
      </c>
    </row>
    <row r="47" spans="3:15" x14ac:dyDescent="0.25">
      <c r="O47" s="49">
        <v>38272</v>
      </c>
    </row>
    <row r="48" spans="3:15" x14ac:dyDescent="0.25">
      <c r="O48" s="49">
        <v>38293</v>
      </c>
    </row>
    <row r="49" spans="15:15" x14ac:dyDescent="0.25">
      <c r="O49" s="49">
        <v>38306</v>
      </c>
    </row>
    <row r="50" spans="15:15" x14ac:dyDescent="0.25">
      <c r="O50" s="49">
        <v>38346</v>
      </c>
    </row>
    <row r="51" spans="15:15" x14ac:dyDescent="0.25">
      <c r="O51" s="49">
        <v>38353</v>
      </c>
    </row>
    <row r="52" spans="15:15" x14ac:dyDescent="0.25">
      <c r="O52" s="49">
        <v>38390</v>
      </c>
    </row>
    <row r="53" spans="15:15" x14ac:dyDescent="0.25">
      <c r="O53" s="49">
        <v>38391</v>
      </c>
    </row>
    <row r="54" spans="15:15" x14ac:dyDescent="0.25">
      <c r="O54" s="49">
        <v>38436</v>
      </c>
    </row>
    <row r="55" spans="15:15" x14ac:dyDescent="0.25">
      <c r="O55" s="49">
        <v>38463</v>
      </c>
    </row>
    <row r="56" spans="15:15" x14ac:dyDescent="0.25">
      <c r="O56" s="49">
        <v>38473</v>
      </c>
    </row>
    <row r="57" spans="15:15" x14ac:dyDescent="0.25">
      <c r="O57" s="49">
        <v>38498</v>
      </c>
    </row>
    <row r="58" spans="15:15" x14ac:dyDescent="0.25">
      <c r="O58" s="49">
        <v>38602</v>
      </c>
    </row>
    <row r="59" spans="15:15" x14ac:dyDescent="0.25">
      <c r="O59" s="49">
        <v>38637</v>
      </c>
    </row>
    <row r="60" spans="15:15" x14ac:dyDescent="0.25">
      <c r="O60" s="49">
        <v>38658</v>
      </c>
    </row>
    <row r="61" spans="15:15" x14ac:dyDescent="0.25">
      <c r="O61" s="49">
        <v>38671</v>
      </c>
    </row>
    <row r="62" spans="15:15" x14ac:dyDescent="0.25">
      <c r="O62" s="49">
        <v>38711</v>
      </c>
    </row>
    <row r="63" spans="15:15" x14ac:dyDescent="0.25">
      <c r="O63" s="49">
        <v>38718</v>
      </c>
    </row>
    <row r="64" spans="15:15" x14ac:dyDescent="0.25">
      <c r="O64" s="49">
        <v>38775</v>
      </c>
    </row>
    <row r="65" spans="15:15" x14ac:dyDescent="0.25">
      <c r="O65" s="49">
        <v>38776</v>
      </c>
    </row>
    <row r="66" spans="15:15" x14ac:dyDescent="0.25">
      <c r="O66" s="49">
        <v>38821</v>
      </c>
    </row>
    <row r="67" spans="15:15" x14ac:dyDescent="0.25">
      <c r="O67" s="49">
        <v>38828</v>
      </c>
    </row>
    <row r="68" spans="15:15" x14ac:dyDescent="0.25">
      <c r="O68" s="49">
        <v>38838</v>
      </c>
    </row>
    <row r="69" spans="15:15" x14ac:dyDescent="0.25">
      <c r="O69" s="49">
        <v>38883</v>
      </c>
    </row>
    <row r="70" spans="15:15" x14ac:dyDescent="0.25">
      <c r="O70" s="49">
        <v>38967</v>
      </c>
    </row>
    <row r="71" spans="15:15" x14ac:dyDescent="0.25">
      <c r="O71" s="49">
        <v>39002</v>
      </c>
    </row>
    <row r="72" spans="15:15" x14ac:dyDescent="0.25">
      <c r="O72" s="49">
        <v>39023</v>
      </c>
    </row>
    <row r="73" spans="15:15" x14ac:dyDescent="0.25">
      <c r="O73" s="49">
        <v>39036</v>
      </c>
    </row>
    <row r="74" spans="15:15" x14ac:dyDescent="0.25">
      <c r="O74" s="49">
        <v>39076</v>
      </c>
    </row>
    <row r="75" spans="15:15" x14ac:dyDescent="0.25">
      <c r="O75" s="49">
        <v>39083</v>
      </c>
    </row>
    <row r="76" spans="15:15" x14ac:dyDescent="0.25">
      <c r="O76" s="49">
        <v>39132</v>
      </c>
    </row>
    <row r="77" spans="15:15" x14ac:dyDescent="0.25">
      <c r="O77" s="49">
        <v>39133</v>
      </c>
    </row>
    <row r="78" spans="15:15" x14ac:dyDescent="0.25">
      <c r="O78" s="49">
        <v>39178</v>
      </c>
    </row>
    <row r="79" spans="15:15" x14ac:dyDescent="0.25">
      <c r="O79" s="49">
        <v>39193</v>
      </c>
    </row>
    <row r="80" spans="15:15" x14ac:dyDescent="0.25">
      <c r="O80" s="49">
        <v>39203</v>
      </c>
    </row>
    <row r="81" spans="15:15" x14ac:dyDescent="0.25">
      <c r="O81" s="49">
        <v>39240</v>
      </c>
    </row>
    <row r="82" spans="15:15" x14ac:dyDescent="0.25">
      <c r="O82" s="49">
        <v>39332</v>
      </c>
    </row>
    <row r="83" spans="15:15" x14ac:dyDescent="0.25">
      <c r="O83" s="49">
        <v>39367</v>
      </c>
    </row>
    <row r="84" spans="15:15" x14ac:dyDescent="0.25">
      <c r="O84" s="49">
        <v>39388</v>
      </c>
    </row>
    <row r="85" spans="15:15" x14ac:dyDescent="0.25">
      <c r="O85" s="49">
        <v>39401</v>
      </c>
    </row>
    <row r="86" spans="15:15" x14ac:dyDescent="0.25">
      <c r="O86" s="49">
        <v>39441</v>
      </c>
    </row>
    <row r="87" spans="15:15" x14ac:dyDescent="0.25">
      <c r="O87" s="49">
        <v>39448</v>
      </c>
    </row>
    <row r="88" spans="15:15" x14ac:dyDescent="0.25">
      <c r="O88" s="49">
        <v>39482</v>
      </c>
    </row>
    <row r="89" spans="15:15" x14ac:dyDescent="0.25">
      <c r="O89" s="49">
        <v>39483</v>
      </c>
    </row>
    <row r="90" spans="15:15" x14ac:dyDescent="0.25">
      <c r="O90" s="49">
        <v>39528</v>
      </c>
    </row>
    <row r="91" spans="15:15" x14ac:dyDescent="0.25">
      <c r="O91" s="49">
        <v>39559</v>
      </c>
    </row>
    <row r="92" spans="15:15" x14ac:dyDescent="0.25">
      <c r="O92" s="49">
        <v>39569</v>
      </c>
    </row>
    <row r="93" spans="15:15" x14ac:dyDescent="0.25">
      <c r="O93" s="49">
        <v>39590</v>
      </c>
    </row>
    <row r="94" spans="15:15" x14ac:dyDescent="0.25">
      <c r="O94" s="49">
        <v>39698</v>
      </c>
    </row>
    <row r="95" spans="15:15" x14ac:dyDescent="0.25">
      <c r="O95" s="49">
        <v>39733</v>
      </c>
    </row>
    <row r="96" spans="15:15" x14ac:dyDescent="0.25">
      <c r="O96" s="49">
        <v>39754</v>
      </c>
    </row>
    <row r="97" spans="15:15" x14ac:dyDescent="0.25">
      <c r="O97" s="49">
        <v>39767</v>
      </c>
    </row>
    <row r="98" spans="15:15" x14ac:dyDescent="0.25">
      <c r="O98" s="49">
        <v>39807</v>
      </c>
    </row>
    <row r="99" spans="15:15" x14ac:dyDescent="0.25">
      <c r="O99" s="49">
        <v>39814</v>
      </c>
    </row>
    <row r="100" spans="15:15" x14ac:dyDescent="0.25">
      <c r="O100" s="49">
        <v>39867</v>
      </c>
    </row>
    <row r="101" spans="15:15" x14ac:dyDescent="0.25">
      <c r="O101" s="49">
        <v>39868</v>
      </c>
    </row>
    <row r="102" spans="15:15" x14ac:dyDescent="0.25">
      <c r="O102" s="49">
        <v>39913</v>
      </c>
    </row>
    <row r="103" spans="15:15" x14ac:dyDescent="0.25">
      <c r="O103" s="49">
        <v>39924</v>
      </c>
    </row>
    <row r="104" spans="15:15" x14ac:dyDescent="0.25">
      <c r="O104" s="49">
        <v>39934</v>
      </c>
    </row>
    <row r="105" spans="15:15" x14ac:dyDescent="0.25">
      <c r="O105" s="49">
        <v>39975</v>
      </c>
    </row>
    <row r="106" spans="15:15" x14ac:dyDescent="0.25">
      <c r="O106" s="49">
        <v>40063</v>
      </c>
    </row>
    <row r="107" spans="15:15" x14ac:dyDescent="0.25">
      <c r="O107" s="49">
        <v>40098</v>
      </c>
    </row>
    <row r="108" spans="15:15" x14ac:dyDescent="0.25">
      <c r="O108" s="49">
        <v>40119</v>
      </c>
    </row>
    <row r="109" spans="15:15" x14ac:dyDescent="0.25">
      <c r="O109" s="49">
        <v>40132</v>
      </c>
    </row>
    <row r="110" spans="15:15" x14ac:dyDescent="0.25">
      <c r="O110" s="49">
        <v>40172</v>
      </c>
    </row>
    <row r="111" spans="15:15" x14ac:dyDescent="0.25">
      <c r="O111" s="49">
        <v>40179</v>
      </c>
    </row>
    <row r="112" spans="15:15" x14ac:dyDescent="0.25">
      <c r="O112" s="49">
        <v>40224</v>
      </c>
    </row>
    <row r="113" spans="15:15" x14ac:dyDescent="0.25">
      <c r="O113" s="49">
        <v>40225</v>
      </c>
    </row>
    <row r="114" spans="15:15" x14ac:dyDescent="0.25">
      <c r="O114" s="49">
        <v>40270</v>
      </c>
    </row>
    <row r="115" spans="15:15" x14ac:dyDescent="0.25">
      <c r="O115" s="49">
        <v>40289</v>
      </c>
    </row>
    <row r="116" spans="15:15" x14ac:dyDescent="0.25">
      <c r="O116" s="49">
        <v>40299</v>
      </c>
    </row>
    <row r="117" spans="15:15" x14ac:dyDescent="0.25">
      <c r="O117" s="49">
        <v>40332</v>
      </c>
    </row>
    <row r="118" spans="15:15" x14ac:dyDescent="0.25">
      <c r="O118" s="49">
        <v>40428</v>
      </c>
    </row>
    <row r="119" spans="15:15" x14ac:dyDescent="0.25">
      <c r="O119" s="49">
        <v>40463</v>
      </c>
    </row>
    <row r="120" spans="15:15" x14ac:dyDescent="0.25">
      <c r="O120" s="49">
        <v>40484</v>
      </c>
    </row>
    <row r="121" spans="15:15" x14ac:dyDescent="0.25">
      <c r="O121" s="49">
        <v>40497</v>
      </c>
    </row>
    <row r="122" spans="15:15" x14ac:dyDescent="0.25">
      <c r="O122" s="49">
        <v>40537</v>
      </c>
    </row>
    <row r="123" spans="15:15" x14ac:dyDescent="0.25">
      <c r="O123" s="49">
        <v>40544</v>
      </c>
    </row>
    <row r="124" spans="15:15" x14ac:dyDescent="0.25">
      <c r="O124" s="49">
        <v>40609</v>
      </c>
    </row>
    <row r="125" spans="15:15" x14ac:dyDescent="0.25">
      <c r="O125" s="49">
        <v>40610</v>
      </c>
    </row>
    <row r="126" spans="15:15" x14ac:dyDescent="0.25">
      <c r="O126" s="49">
        <v>40654</v>
      </c>
    </row>
    <row r="127" spans="15:15" x14ac:dyDescent="0.25">
      <c r="O127" s="49">
        <v>40655</v>
      </c>
    </row>
    <row r="128" spans="15:15" x14ac:dyDescent="0.25">
      <c r="O128" s="49">
        <v>40664</v>
      </c>
    </row>
    <row r="129" spans="15:15" x14ac:dyDescent="0.25">
      <c r="O129" s="49">
        <v>40717</v>
      </c>
    </row>
    <row r="130" spans="15:15" x14ac:dyDescent="0.25">
      <c r="O130" s="49">
        <v>40793</v>
      </c>
    </row>
    <row r="131" spans="15:15" x14ac:dyDescent="0.25">
      <c r="O131" s="49">
        <v>40828</v>
      </c>
    </row>
    <row r="132" spans="15:15" x14ac:dyDescent="0.25">
      <c r="O132" s="49">
        <v>40849</v>
      </c>
    </row>
    <row r="133" spans="15:15" x14ac:dyDescent="0.25">
      <c r="O133" s="49">
        <v>40862</v>
      </c>
    </row>
    <row r="134" spans="15:15" x14ac:dyDescent="0.25">
      <c r="O134" s="49">
        <v>40902</v>
      </c>
    </row>
    <row r="135" spans="15:15" x14ac:dyDescent="0.25">
      <c r="O135" s="49">
        <v>40909</v>
      </c>
    </row>
    <row r="136" spans="15:15" x14ac:dyDescent="0.25">
      <c r="O136" s="49">
        <v>40959</v>
      </c>
    </row>
    <row r="137" spans="15:15" x14ac:dyDescent="0.25">
      <c r="O137" s="49">
        <v>40960</v>
      </c>
    </row>
    <row r="138" spans="15:15" x14ac:dyDescent="0.25">
      <c r="O138" s="49">
        <v>41005</v>
      </c>
    </row>
    <row r="139" spans="15:15" x14ac:dyDescent="0.25">
      <c r="O139" s="49">
        <v>41020</v>
      </c>
    </row>
    <row r="140" spans="15:15" x14ac:dyDescent="0.25">
      <c r="O140" s="49">
        <v>41030</v>
      </c>
    </row>
    <row r="141" spans="15:15" x14ac:dyDescent="0.25">
      <c r="O141" s="49">
        <v>41067</v>
      </c>
    </row>
    <row r="142" spans="15:15" x14ac:dyDescent="0.25">
      <c r="O142" s="49">
        <v>41159</v>
      </c>
    </row>
    <row r="143" spans="15:15" x14ac:dyDescent="0.25">
      <c r="O143" s="49">
        <v>41194</v>
      </c>
    </row>
    <row r="144" spans="15:15" x14ac:dyDescent="0.25">
      <c r="O144" s="49">
        <v>41215</v>
      </c>
    </row>
    <row r="145" spans="15:15" x14ac:dyDescent="0.25">
      <c r="O145" s="49">
        <v>41228</v>
      </c>
    </row>
    <row r="146" spans="15:15" x14ac:dyDescent="0.25">
      <c r="O146" s="49">
        <v>41268</v>
      </c>
    </row>
    <row r="147" spans="15:15" x14ac:dyDescent="0.25">
      <c r="O147" s="49">
        <v>41275</v>
      </c>
    </row>
    <row r="148" spans="15:15" x14ac:dyDescent="0.25">
      <c r="O148" s="49">
        <v>41316</v>
      </c>
    </row>
    <row r="149" spans="15:15" x14ac:dyDescent="0.25">
      <c r="O149" s="49">
        <v>41317</v>
      </c>
    </row>
    <row r="150" spans="15:15" x14ac:dyDescent="0.25">
      <c r="O150" s="49">
        <v>41362</v>
      </c>
    </row>
    <row r="151" spans="15:15" x14ac:dyDescent="0.25">
      <c r="O151" s="49">
        <v>41385</v>
      </c>
    </row>
    <row r="152" spans="15:15" x14ac:dyDescent="0.25">
      <c r="O152" s="49">
        <v>41395</v>
      </c>
    </row>
    <row r="153" spans="15:15" x14ac:dyDescent="0.25">
      <c r="O153" s="49">
        <v>41424</v>
      </c>
    </row>
    <row r="154" spans="15:15" x14ac:dyDescent="0.25">
      <c r="O154" s="49">
        <v>41524</v>
      </c>
    </row>
    <row r="155" spans="15:15" x14ac:dyDescent="0.25">
      <c r="O155" s="49">
        <v>41559</v>
      </c>
    </row>
    <row r="156" spans="15:15" x14ac:dyDescent="0.25">
      <c r="O156" s="49">
        <v>41580</v>
      </c>
    </row>
    <row r="157" spans="15:15" x14ac:dyDescent="0.25">
      <c r="O157" s="49">
        <v>41593</v>
      </c>
    </row>
    <row r="158" spans="15:15" x14ac:dyDescent="0.25">
      <c r="O158" s="49">
        <v>41633</v>
      </c>
    </row>
    <row r="159" spans="15:15" x14ac:dyDescent="0.25">
      <c r="O159" s="49">
        <v>41640</v>
      </c>
    </row>
    <row r="160" spans="15:15" x14ac:dyDescent="0.25">
      <c r="O160" s="49">
        <v>41701</v>
      </c>
    </row>
    <row r="161" spans="15:15" x14ac:dyDescent="0.25">
      <c r="O161" s="49">
        <v>41702</v>
      </c>
    </row>
    <row r="162" spans="15:15" x14ac:dyDescent="0.25">
      <c r="O162" s="49">
        <v>41747</v>
      </c>
    </row>
    <row r="163" spans="15:15" x14ac:dyDescent="0.25">
      <c r="O163" s="49">
        <v>41750</v>
      </c>
    </row>
    <row r="164" spans="15:15" x14ac:dyDescent="0.25">
      <c r="O164" s="49">
        <v>41760</v>
      </c>
    </row>
    <row r="165" spans="15:15" x14ac:dyDescent="0.25">
      <c r="O165" s="49">
        <v>41809</v>
      </c>
    </row>
    <row r="166" spans="15:15" x14ac:dyDescent="0.25">
      <c r="O166" s="49">
        <v>41889</v>
      </c>
    </row>
    <row r="167" spans="15:15" x14ac:dyDescent="0.25">
      <c r="O167" s="49">
        <v>41924</v>
      </c>
    </row>
    <row r="168" spans="15:15" x14ac:dyDescent="0.25">
      <c r="O168" s="49">
        <v>41945</v>
      </c>
    </row>
    <row r="169" spans="15:15" x14ac:dyDescent="0.25">
      <c r="O169" s="49">
        <v>41958</v>
      </c>
    </row>
    <row r="170" spans="15:15" x14ac:dyDescent="0.25">
      <c r="O170" s="49">
        <v>41998</v>
      </c>
    </row>
    <row r="171" spans="15:15" x14ac:dyDescent="0.25">
      <c r="O171" s="49">
        <v>42005</v>
      </c>
    </row>
    <row r="172" spans="15:15" x14ac:dyDescent="0.25">
      <c r="O172" s="49">
        <v>42051</v>
      </c>
    </row>
    <row r="173" spans="15:15" x14ac:dyDescent="0.25">
      <c r="O173" s="49">
        <v>42052</v>
      </c>
    </row>
    <row r="174" spans="15:15" x14ac:dyDescent="0.25">
      <c r="O174" s="49">
        <v>42097</v>
      </c>
    </row>
    <row r="175" spans="15:15" x14ac:dyDescent="0.25">
      <c r="O175" s="49">
        <v>42115</v>
      </c>
    </row>
    <row r="176" spans="15:15" x14ac:dyDescent="0.25">
      <c r="O176" s="49">
        <v>42125</v>
      </c>
    </row>
    <row r="177" spans="15:15" x14ac:dyDescent="0.25">
      <c r="O177" s="49">
        <v>42159</v>
      </c>
    </row>
    <row r="178" spans="15:15" x14ac:dyDescent="0.25">
      <c r="O178" s="49">
        <v>42254</v>
      </c>
    </row>
    <row r="179" spans="15:15" x14ac:dyDescent="0.25">
      <c r="O179" s="49">
        <v>42289</v>
      </c>
    </row>
    <row r="180" spans="15:15" x14ac:dyDescent="0.25">
      <c r="O180" s="49">
        <v>42310</v>
      </c>
    </row>
    <row r="181" spans="15:15" x14ac:dyDescent="0.25">
      <c r="O181" s="49">
        <v>42323</v>
      </c>
    </row>
    <row r="182" spans="15:15" x14ac:dyDescent="0.25">
      <c r="O182" s="49">
        <v>42363</v>
      </c>
    </row>
    <row r="183" spans="15:15" x14ac:dyDescent="0.25">
      <c r="O183" s="49">
        <v>42370</v>
      </c>
    </row>
    <row r="184" spans="15:15" x14ac:dyDescent="0.25">
      <c r="O184" s="49">
        <v>42408</v>
      </c>
    </row>
    <row r="185" spans="15:15" x14ac:dyDescent="0.25">
      <c r="O185" s="49">
        <v>42409</v>
      </c>
    </row>
    <row r="186" spans="15:15" x14ac:dyDescent="0.25">
      <c r="O186" s="49">
        <v>42454</v>
      </c>
    </row>
    <row r="187" spans="15:15" x14ac:dyDescent="0.25">
      <c r="O187" s="49">
        <v>42481</v>
      </c>
    </row>
    <row r="188" spans="15:15" x14ac:dyDescent="0.25">
      <c r="O188" s="49">
        <v>42491</v>
      </c>
    </row>
    <row r="189" spans="15:15" x14ac:dyDescent="0.25">
      <c r="O189" s="49">
        <v>42516</v>
      </c>
    </row>
    <row r="190" spans="15:15" x14ac:dyDescent="0.25">
      <c r="O190" s="49">
        <v>42620</v>
      </c>
    </row>
    <row r="191" spans="15:15" x14ac:dyDescent="0.25">
      <c r="O191" s="49">
        <v>42655</v>
      </c>
    </row>
    <row r="192" spans="15:15" x14ac:dyDescent="0.25">
      <c r="O192" s="49">
        <v>42676</v>
      </c>
    </row>
    <row r="193" spans="15:15" x14ac:dyDescent="0.25">
      <c r="O193" s="49">
        <v>42689</v>
      </c>
    </row>
    <row r="194" spans="15:15" x14ac:dyDescent="0.25">
      <c r="O194" s="49">
        <v>42729</v>
      </c>
    </row>
    <row r="195" spans="15:15" x14ac:dyDescent="0.25">
      <c r="O195" s="49">
        <v>42736</v>
      </c>
    </row>
    <row r="196" spans="15:15" x14ac:dyDescent="0.25">
      <c r="O196" s="49">
        <v>42793</v>
      </c>
    </row>
    <row r="197" spans="15:15" x14ac:dyDescent="0.25">
      <c r="O197" s="49">
        <v>42794</v>
      </c>
    </row>
    <row r="198" spans="15:15" x14ac:dyDescent="0.25">
      <c r="O198" s="49">
        <v>42839</v>
      </c>
    </row>
    <row r="199" spans="15:15" x14ac:dyDescent="0.25">
      <c r="O199" s="49">
        <v>42846</v>
      </c>
    </row>
    <row r="200" spans="15:15" x14ac:dyDescent="0.25">
      <c r="O200" s="49">
        <v>42856</v>
      </c>
    </row>
    <row r="201" spans="15:15" x14ac:dyDescent="0.25">
      <c r="O201" s="49">
        <v>42901</v>
      </c>
    </row>
    <row r="202" spans="15:15" x14ac:dyDescent="0.25">
      <c r="O202" s="49">
        <v>42985</v>
      </c>
    </row>
    <row r="203" spans="15:15" x14ac:dyDescent="0.25">
      <c r="O203" s="49">
        <v>43020</v>
      </c>
    </row>
    <row r="204" spans="15:15" x14ac:dyDescent="0.25">
      <c r="O204" s="49">
        <v>43041</v>
      </c>
    </row>
    <row r="205" spans="15:15" x14ac:dyDescent="0.25">
      <c r="O205" s="49">
        <v>43054</v>
      </c>
    </row>
    <row r="206" spans="15:15" x14ac:dyDescent="0.25">
      <c r="O206" s="49">
        <v>43094</v>
      </c>
    </row>
    <row r="207" spans="15:15" x14ac:dyDescent="0.25">
      <c r="O207" s="49">
        <v>43101</v>
      </c>
    </row>
    <row r="208" spans="15:15" x14ac:dyDescent="0.25">
      <c r="O208" s="49">
        <v>43143</v>
      </c>
    </row>
    <row r="209" spans="15:15" x14ac:dyDescent="0.25">
      <c r="O209" s="49">
        <v>43144</v>
      </c>
    </row>
    <row r="210" spans="15:15" x14ac:dyDescent="0.25">
      <c r="O210" s="49">
        <v>43189</v>
      </c>
    </row>
    <row r="211" spans="15:15" x14ac:dyDescent="0.25">
      <c r="O211" s="49">
        <v>43211</v>
      </c>
    </row>
    <row r="212" spans="15:15" x14ac:dyDescent="0.25">
      <c r="O212" s="49">
        <v>43221</v>
      </c>
    </row>
    <row r="213" spans="15:15" x14ac:dyDescent="0.25">
      <c r="O213" s="49">
        <v>43251</v>
      </c>
    </row>
    <row r="214" spans="15:15" x14ac:dyDescent="0.25">
      <c r="O214" s="49">
        <v>43350</v>
      </c>
    </row>
    <row r="215" spans="15:15" x14ac:dyDescent="0.25">
      <c r="O215" s="49">
        <v>43385</v>
      </c>
    </row>
    <row r="216" spans="15:15" x14ac:dyDescent="0.25">
      <c r="O216" s="49">
        <v>43406</v>
      </c>
    </row>
    <row r="217" spans="15:15" x14ac:dyDescent="0.25">
      <c r="O217" s="49">
        <v>43419</v>
      </c>
    </row>
    <row r="218" spans="15:15" x14ac:dyDescent="0.25">
      <c r="O218" s="49">
        <v>43459</v>
      </c>
    </row>
    <row r="219" spans="15:15" x14ac:dyDescent="0.25">
      <c r="O219" s="49">
        <v>43466</v>
      </c>
    </row>
    <row r="220" spans="15:15" x14ac:dyDescent="0.25">
      <c r="O220" s="49">
        <v>43528</v>
      </c>
    </row>
    <row r="221" spans="15:15" x14ac:dyDescent="0.25">
      <c r="O221" s="49">
        <v>43529</v>
      </c>
    </row>
    <row r="222" spans="15:15" x14ac:dyDescent="0.25">
      <c r="O222" s="49">
        <v>43574</v>
      </c>
    </row>
    <row r="223" spans="15:15" x14ac:dyDescent="0.25">
      <c r="O223" s="49">
        <v>43576</v>
      </c>
    </row>
    <row r="224" spans="15:15" x14ac:dyDescent="0.25">
      <c r="O224" s="49">
        <v>43586</v>
      </c>
    </row>
    <row r="225" spans="15:15" x14ac:dyDescent="0.25">
      <c r="O225" s="49">
        <v>43636</v>
      </c>
    </row>
    <row r="226" spans="15:15" x14ac:dyDescent="0.25">
      <c r="O226" s="49">
        <v>43715</v>
      </c>
    </row>
    <row r="227" spans="15:15" x14ac:dyDescent="0.25">
      <c r="O227" s="49">
        <v>43750</v>
      </c>
    </row>
    <row r="228" spans="15:15" x14ac:dyDescent="0.25">
      <c r="O228" s="49">
        <v>43771</v>
      </c>
    </row>
    <row r="229" spans="15:15" x14ac:dyDescent="0.25">
      <c r="O229" s="49">
        <v>43784</v>
      </c>
    </row>
    <row r="230" spans="15:15" x14ac:dyDescent="0.25">
      <c r="O230" s="49">
        <v>43824</v>
      </c>
    </row>
    <row r="231" spans="15:15" x14ac:dyDescent="0.25">
      <c r="O231" s="49">
        <v>43831</v>
      </c>
    </row>
    <row r="232" spans="15:15" x14ac:dyDescent="0.25">
      <c r="O232" s="49">
        <v>43885</v>
      </c>
    </row>
    <row r="233" spans="15:15" x14ac:dyDescent="0.25">
      <c r="O233" s="49">
        <v>43886</v>
      </c>
    </row>
    <row r="234" spans="15:15" x14ac:dyDescent="0.25">
      <c r="O234" s="49">
        <v>43931</v>
      </c>
    </row>
    <row r="235" spans="15:15" x14ac:dyDescent="0.25">
      <c r="O235" s="49">
        <v>43942</v>
      </c>
    </row>
    <row r="236" spans="15:15" x14ac:dyDescent="0.25">
      <c r="O236" s="49">
        <v>43952</v>
      </c>
    </row>
    <row r="237" spans="15:15" x14ac:dyDescent="0.25">
      <c r="O237" s="49">
        <v>43993</v>
      </c>
    </row>
    <row r="238" spans="15:15" x14ac:dyDescent="0.25">
      <c r="O238" s="49">
        <v>44081</v>
      </c>
    </row>
    <row r="239" spans="15:15" x14ac:dyDescent="0.25">
      <c r="O239" s="49">
        <v>44116</v>
      </c>
    </row>
    <row r="240" spans="15:15" x14ac:dyDescent="0.25">
      <c r="O240" s="49">
        <v>44137</v>
      </c>
    </row>
    <row r="241" spans="15:15" x14ac:dyDescent="0.25">
      <c r="O241" s="49">
        <v>44150</v>
      </c>
    </row>
    <row r="242" spans="15:15" x14ac:dyDescent="0.25">
      <c r="O242" s="49">
        <v>44190</v>
      </c>
    </row>
    <row r="243" spans="15:15" x14ac:dyDescent="0.25">
      <c r="O243" s="49">
        <v>44197</v>
      </c>
    </row>
    <row r="244" spans="15:15" x14ac:dyDescent="0.25">
      <c r="O244" s="49">
        <v>44242</v>
      </c>
    </row>
    <row r="245" spans="15:15" x14ac:dyDescent="0.25">
      <c r="O245" s="49">
        <v>44243</v>
      </c>
    </row>
    <row r="246" spans="15:15" x14ac:dyDescent="0.25">
      <c r="O246" s="49">
        <v>44288</v>
      </c>
    </row>
    <row r="247" spans="15:15" x14ac:dyDescent="0.25">
      <c r="O247" s="49">
        <v>44307</v>
      </c>
    </row>
    <row r="248" spans="15:15" x14ac:dyDescent="0.25">
      <c r="O248" s="49">
        <v>44317</v>
      </c>
    </row>
    <row r="249" spans="15:15" x14ac:dyDescent="0.25">
      <c r="O249" s="49">
        <v>44350</v>
      </c>
    </row>
    <row r="250" spans="15:15" x14ac:dyDescent="0.25">
      <c r="O250" s="49">
        <v>44446</v>
      </c>
    </row>
    <row r="251" spans="15:15" x14ac:dyDescent="0.25">
      <c r="O251" s="49">
        <v>44481</v>
      </c>
    </row>
    <row r="252" spans="15:15" x14ac:dyDescent="0.25">
      <c r="O252" s="49">
        <v>44502</v>
      </c>
    </row>
    <row r="253" spans="15:15" x14ac:dyDescent="0.25">
      <c r="O253" s="49">
        <v>44515</v>
      </c>
    </row>
    <row r="254" spans="15:15" x14ac:dyDescent="0.25">
      <c r="O254" s="49">
        <v>44555</v>
      </c>
    </row>
    <row r="255" spans="15:15" x14ac:dyDescent="0.25">
      <c r="O255" s="49">
        <v>44562</v>
      </c>
    </row>
    <row r="256" spans="15:15" x14ac:dyDescent="0.25">
      <c r="O256" s="49">
        <v>44620</v>
      </c>
    </row>
    <row r="257" spans="15:15" x14ac:dyDescent="0.25">
      <c r="O257" s="49">
        <v>44621</v>
      </c>
    </row>
    <row r="258" spans="15:15" x14ac:dyDescent="0.25">
      <c r="O258" s="49">
        <v>44666</v>
      </c>
    </row>
    <row r="259" spans="15:15" x14ac:dyDescent="0.25">
      <c r="O259" s="49">
        <v>44672</v>
      </c>
    </row>
    <row r="260" spans="15:15" x14ac:dyDescent="0.25">
      <c r="O260" s="49">
        <v>44682</v>
      </c>
    </row>
    <row r="261" spans="15:15" x14ac:dyDescent="0.25">
      <c r="O261" s="49">
        <v>44728</v>
      </c>
    </row>
    <row r="262" spans="15:15" x14ac:dyDescent="0.25">
      <c r="O262" s="49">
        <v>44811</v>
      </c>
    </row>
    <row r="263" spans="15:15" x14ac:dyDescent="0.25">
      <c r="O263" s="49">
        <v>44846</v>
      </c>
    </row>
    <row r="264" spans="15:15" x14ac:dyDescent="0.25">
      <c r="O264" s="49">
        <v>44867</v>
      </c>
    </row>
    <row r="265" spans="15:15" x14ac:dyDescent="0.25">
      <c r="O265" s="49">
        <v>44880</v>
      </c>
    </row>
    <row r="266" spans="15:15" x14ac:dyDescent="0.25">
      <c r="O266" s="49">
        <v>44920</v>
      </c>
    </row>
    <row r="267" spans="15:15" x14ac:dyDescent="0.25">
      <c r="O267" s="49">
        <v>44927</v>
      </c>
    </row>
    <row r="268" spans="15:15" x14ac:dyDescent="0.25">
      <c r="O268" s="49">
        <v>44977</v>
      </c>
    </row>
    <row r="269" spans="15:15" x14ac:dyDescent="0.25">
      <c r="O269" s="49">
        <v>44978</v>
      </c>
    </row>
    <row r="270" spans="15:15" x14ac:dyDescent="0.25">
      <c r="O270" s="49">
        <v>45023</v>
      </c>
    </row>
    <row r="271" spans="15:15" x14ac:dyDescent="0.25">
      <c r="O271" s="49">
        <v>45037</v>
      </c>
    </row>
    <row r="272" spans="15:15" x14ac:dyDescent="0.25">
      <c r="O272" s="49">
        <v>45047</v>
      </c>
    </row>
    <row r="273" spans="15:15" x14ac:dyDescent="0.25">
      <c r="O273" s="49">
        <v>45085</v>
      </c>
    </row>
    <row r="274" spans="15:15" x14ac:dyDescent="0.25">
      <c r="O274" s="49">
        <v>45176</v>
      </c>
    </row>
    <row r="275" spans="15:15" x14ac:dyDescent="0.25">
      <c r="O275" s="49">
        <v>45211</v>
      </c>
    </row>
    <row r="276" spans="15:15" x14ac:dyDescent="0.25">
      <c r="O276" s="49">
        <v>45232</v>
      </c>
    </row>
    <row r="277" spans="15:15" x14ac:dyDescent="0.25">
      <c r="O277" s="49">
        <v>45245</v>
      </c>
    </row>
    <row r="278" spans="15:15" x14ac:dyDescent="0.25">
      <c r="O278" s="49">
        <v>45285</v>
      </c>
    </row>
    <row r="279" spans="15:15" x14ac:dyDescent="0.25">
      <c r="O279" s="49">
        <v>45292</v>
      </c>
    </row>
    <row r="280" spans="15:15" x14ac:dyDescent="0.25">
      <c r="O280" s="49">
        <v>45334</v>
      </c>
    </row>
    <row r="281" spans="15:15" x14ac:dyDescent="0.25">
      <c r="O281" s="49">
        <v>45335</v>
      </c>
    </row>
    <row r="282" spans="15:15" x14ac:dyDescent="0.25">
      <c r="O282" s="49">
        <v>45380</v>
      </c>
    </row>
    <row r="283" spans="15:15" x14ac:dyDescent="0.25">
      <c r="O283" s="49">
        <v>45403</v>
      </c>
    </row>
    <row r="284" spans="15:15" x14ac:dyDescent="0.25">
      <c r="O284" s="49">
        <v>45413</v>
      </c>
    </row>
    <row r="285" spans="15:15" x14ac:dyDescent="0.25">
      <c r="O285" s="49">
        <v>45442</v>
      </c>
    </row>
    <row r="286" spans="15:15" x14ac:dyDescent="0.25">
      <c r="O286" s="49">
        <v>45542</v>
      </c>
    </row>
    <row r="287" spans="15:15" x14ac:dyDescent="0.25">
      <c r="O287" s="49">
        <v>45577</v>
      </c>
    </row>
    <row r="288" spans="15:15" x14ac:dyDescent="0.25">
      <c r="O288" s="49">
        <v>45598</v>
      </c>
    </row>
    <row r="289" spans="15:15" x14ac:dyDescent="0.25">
      <c r="O289" s="49">
        <v>45611</v>
      </c>
    </row>
    <row r="290" spans="15:15" x14ac:dyDescent="0.25">
      <c r="O290" s="49">
        <v>45616</v>
      </c>
    </row>
    <row r="291" spans="15:15" x14ac:dyDescent="0.25">
      <c r="O291" s="49">
        <v>45651</v>
      </c>
    </row>
    <row r="292" spans="15:15" x14ac:dyDescent="0.25">
      <c r="O292" s="49">
        <v>45658</v>
      </c>
    </row>
    <row r="293" spans="15:15" x14ac:dyDescent="0.25">
      <c r="O293" s="49">
        <v>45719</v>
      </c>
    </row>
    <row r="294" spans="15:15" x14ac:dyDescent="0.25">
      <c r="O294" s="49">
        <v>45720</v>
      </c>
    </row>
    <row r="295" spans="15:15" x14ac:dyDescent="0.25">
      <c r="O295" s="49">
        <v>45765</v>
      </c>
    </row>
    <row r="296" spans="15:15" x14ac:dyDescent="0.25">
      <c r="O296" s="49">
        <v>45768</v>
      </c>
    </row>
    <row r="297" spans="15:15" x14ac:dyDescent="0.25">
      <c r="O297" s="49">
        <v>45778</v>
      </c>
    </row>
    <row r="298" spans="15:15" x14ac:dyDescent="0.25">
      <c r="O298" s="49">
        <v>45827</v>
      </c>
    </row>
    <row r="299" spans="15:15" x14ac:dyDescent="0.25">
      <c r="O299" s="49">
        <v>45907</v>
      </c>
    </row>
    <row r="300" spans="15:15" x14ac:dyDescent="0.25">
      <c r="O300" s="49">
        <v>45942</v>
      </c>
    </row>
    <row r="301" spans="15:15" x14ac:dyDescent="0.25">
      <c r="O301" s="49">
        <v>45963</v>
      </c>
    </row>
    <row r="302" spans="15:15" x14ac:dyDescent="0.25">
      <c r="O302" s="49">
        <v>45976</v>
      </c>
    </row>
    <row r="303" spans="15:15" x14ac:dyDescent="0.25">
      <c r="O303" s="49">
        <v>45981</v>
      </c>
    </row>
    <row r="304" spans="15:15" x14ac:dyDescent="0.25">
      <c r="O304" s="49">
        <v>46016</v>
      </c>
    </row>
    <row r="305" spans="15:15" x14ac:dyDescent="0.25">
      <c r="O305" s="49">
        <v>46023</v>
      </c>
    </row>
    <row r="306" spans="15:15" x14ac:dyDescent="0.25">
      <c r="O306" s="49">
        <v>46069</v>
      </c>
    </row>
    <row r="307" spans="15:15" x14ac:dyDescent="0.25">
      <c r="O307" s="49">
        <v>46070</v>
      </c>
    </row>
    <row r="308" spans="15:15" x14ac:dyDescent="0.25">
      <c r="O308" s="49">
        <v>46115</v>
      </c>
    </row>
    <row r="309" spans="15:15" x14ac:dyDescent="0.25">
      <c r="O309" s="49">
        <v>46133</v>
      </c>
    </row>
    <row r="310" spans="15:15" x14ac:dyDescent="0.25">
      <c r="O310" s="49">
        <v>46143</v>
      </c>
    </row>
    <row r="311" spans="15:15" x14ac:dyDescent="0.25">
      <c r="O311" s="49">
        <v>46177</v>
      </c>
    </row>
    <row r="312" spans="15:15" x14ac:dyDescent="0.25">
      <c r="O312" s="49">
        <v>46272</v>
      </c>
    </row>
    <row r="313" spans="15:15" x14ac:dyDescent="0.25">
      <c r="O313" s="49">
        <v>46307</v>
      </c>
    </row>
    <row r="314" spans="15:15" x14ac:dyDescent="0.25">
      <c r="O314" s="49">
        <v>46328</v>
      </c>
    </row>
    <row r="315" spans="15:15" x14ac:dyDescent="0.25">
      <c r="O315" s="49">
        <v>46341</v>
      </c>
    </row>
    <row r="316" spans="15:15" x14ac:dyDescent="0.25">
      <c r="O316" s="49">
        <v>46346</v>
      </c>
    </row>
    <row r="317" spans="15:15" x14ac:dyDescent="0.25">
      <c r="O317" s="49">
        <v>46381</v>
      </c>
    </row>
    <row r="318" spans="15:15" x14ac:dyDescent="0.25">
      <c r="O318" s="49">
        <v>46388</v>
      </c>
    </row>
    <row r="319" spans="15:15" x14ac:dyDescent="0.25">
      <c r="O319" s="49">
        <v>46426</v>
      </c>
    </row>
    <row r="320" spans="15:15" x14ac:dyDescent="0.25">
      <c r="O320" s="49">
        <v>46427</v>
      </c>
    </row>
    <row r="321" spans="15:15" x14ac:dyDescent="0.25">
      <c r="O321" s="49">
        <v>46472</v>
      </c>
    </row>
    <row r="322" spans="15:15" x14ac:dyDescent="0.25">
      <c r="O322" s="49">
        <v>46498</v>
      </c>
    </row>
    <row r="323" spans="15:15" x14ac:dyDescent="0.25">
      <c r="O323" s="49">
        <v>46508</v>
      </c>
    </row>
    <row r="324" spans="15:15" x14ac:dyDescent="0.25">
      <c r="O324" s="49">
        <v>46534</v>
      </c>
    </row>
    <row r="325" spans="15:15" x14ac:dyDescent="0.25">
      <c r="O325" s="49">
        <v>46637</v>
      </c>
    </row>
    <row r="326" spans="15:15" x14ac:dyDescent="0.25">
      <c r="O326" s="49">
        <v>46672</v>
      </c>
    </row>
    <row r="327" spans="15:15" x14ac:dyDescent="0.25">
      <c r="O327" s="49">
        <v>46693</v>
      </c>
    </row>
    <row r="328" spans="15:15" x14ac:dyDescent="0.25">
      <c r="O328" s="49">
        <v>46706</v>
      </c>
    </row>
    <row r="329" spans="15:15" x14ac:dyDescent="0.25">
      <c r="O329" s="49">
        <v>46711</v>
      </c>
    </row>
    <row r="330" spans="15:15" x14ac:dyDescent="0.25">
      <c r="O330" s="49">
        <v>46746</v>
      </c>
    </row>
    <row r="331" spans="15:15" x14ac:dyDescent="0.25">
      <c r="O331" s="49">
        <v>46753</v>
      </c>
    </row>
    <row r="332" spans="15:15" x14ac:dyDescent="0.25">
      <c r="O332" s="49">
        <v>46811</v>
      </c>
    </row>
    <row r="333" spans="15:15" x14ac:dyDescent="0.25">
      <c r="O333" s="49">
        <v>46812</v>
      </c>
    </row>
    <row r="334" spans="15:15" x14ac:dyDescent="0.25">
      <c r="O334" s="49">
        <v>46857</v>
      </c>
    </row>
    <row r="335" spans="15:15" x14ac:dyDescent="0.25">
      <c r="O335" s="49">
        <v>46864</v>
      </c>
    </row>
    <row r="336" spans="15:15" x14ac:dyDescent="0.25">
      <c r="O336" s="49">
        <v>46874</v>
      </c>
    </row>
    <row r="337" spans="15:15" x14ac:dyDescent="0.25">
      <c r="O337" s="49">
        <v>46919</v>
      </c>
    </row>
    <row r="338" spans="15:15" x14ac:dyDescent="0.25">
      <c r="O338" s="49">
        <v>47003</v>
      </c>
    </row>
    <row r="339" spans="15:15" x14ac:dyDescent="0.25">
      <c r="O339" s="49">
        <v>47038</v>
      </c>
    </row>
    <row r="340" spans="15:15" x14ac:dyDescent="0.25">
      <c r="O340" s="49">
        <v>47059</v>
      </c>
    </row>
    <row r="341" spans="15:15" x14ac:dyDescent="0.25">
      <c r="O341" s="49">
        <v>47072</v>
      </c>
    </row>
    <row r="342" spans="15:15" x14ac:dyDescent="0.25">
      <c r="O342" s="49">
        <v>47077</v>
      </c>
    </row>
    <row r="343" spans="15:15" x14ac:dyDescent="0.25">
      <c r="O343" s="49">
        <v>47112</v>
      </c>
    </row>
    <row r="344" spans="15:15" x14ac:dyDescent="0.25">
      <c r="O344" s="49">
        <v>47119</v>
      </c>
    </row>
    <row r="345" spans="15:15" x14ac:dyDescent="0.25">
      <c r="O345" s="49">
        <v>47161</v>
      </c>
    </row>
    <row r="346" spans="15:15" x14ac:dyDescent="0.25">
      <c r="O346" s="49">
        <v>47162</v>
      </c>
    </row>
    <row r="347" spans="15:15" x14ac:dyDescent="0.25">
      <c r="O347" s="49">
        <v>47207</v>
      </c>
    </row>
    <row r="348" spans="15:15" x14ac:dyDescent="0.25">
      <c r="O348" s="49">
        <v>47229</v>
      </c>
    </row>
    <row r="349" spans="15:15" x14ac:dyDescent="0.25">
      <c r="O349" s="49">
        <v>47239</v>
      </c>
    </row>
    <row r="350" spans="15:15" x14ac:dyDescent="0.25">
      <c r="O350" s="49">
        <v>47269</v>
      </c>
    </row>
    <row r="351" spans="15:15" x14ac:dyDescent="0.25">
      <c r="O351" s="49">
        <v>47368</v>
      </c>
    </row>
    <row r="352" spans="15:15" x14ac:dyDescent="0.25">
      <c r="O352" s="49">
        <v>47403</v>
      </c>
    </row>
    <row r="353" spans="15:15" x14ac:dyDescent="0.25">
      <c r="O353" s="49">
        <v>47424</v>
      </c>
    </row>
    <row r="354" spans="15:15" x14ac:dyDescent="0.25">
      <c r="O354" s="49">
        <v>47437</v>
      </c>
    </row>
    <row r="355" spans="15:15" x14ac:dyDescent="0.25">
      <c r="O355" s="49">
        <v>47442</v>
      </c>
    </row>
    <row r="356" spans="15:15" x14ac:dyDescent="0.25">
      <c r="O356" s="49">
        <v>47477</v>
      </c>
    </row>
    <row r="357" spans="15:15" x14ac:dyDescent="0.25">
      <c r="O357" s="49">
        <v>47484</v>
      </c>
    </row>
    <row r="358" spans="15:15" x14ac:dyDescent="0.25">
      <c r="O358" s="49">
        <v>47546</v>
      </c>
    </row>
    <row r="359" spans="15:15" x14ac:dyDescent="0.25">
      <c r="O359" s="49">
        <v>47547</v>
      </c>
    </row>
    <row r="360" spans="15:15" x14ac:dyDescent="0.25">
      <c r="O360" s="49">
        <v>47592</v>
      </c>
    </row>
    <row r="361" spans="15:15" x14ac:dyDescent="0.25">
      <c r="O361" s="49">
        <v>47594</v>
      </c>
    </row>
    <row r="362" spans="15:15" x14ac:dyDescent="0.25">
      <c r="O362" s="49">
        <v>47604</v>
      </c>
    </row>
    <row r="363" spans="15:15" x14ac:dyDescent="0.25">
      <c r="O363" s="49">
        <v>47654</v>
      </c>
    </row>
    <row r="364" spans="15:15" x14ac:dyDescent="0.25">
      <c r="O364" s="49">
        <v>47733</v>
      </c>
    </row>
    <row r="365" spans="15:15" x14ac:dyDescent="0.25">
      <c r="O365" s="49">
        <v>47768</v>
      </c>
    </row>
    <row r="366" spans="15:15" x14ac:dyDescent="0.25">
      <c r="O366" s="49">
        <v>47789</v>
      </c>
    </row>
    <row r="367" spans="15:15" x14ac:dyDescent="0.25">
      <c r="O367" s="49">
        <v>47802</v>
      </c>
    </row>
    <row r="368" spans="15:15" x14ac:dyDescent="0.25">
      <c r="O368" s="49">
        <v>47807</v>
      </c>
    </row>
    <row r="369" spans="15:15" x14ac:dyDescent="0.25">
      <c r="O369" s="49">
        <v>47842</v>
      </c>
    </row>
    <row r="370" spans="15:15" x14ac:dyDescent="0.25">
      <c r="O370" s="49">
        <v>47849</v>
      </c>
    </row>
    <row r="371" spans="15:15" x14ac:dyDescent="0.25">
      <c r="O371" s="49">
        <v>47903</v>
      </c>
    </row>
    <row r="372" spans="15:15" x14ac:dyDescent="0.25">
      <c r="O372" s="49">
        <v>47904</v>
      </c>
    </row>
    <row r="373" spans="15:15" x14ac:dyDescent="0.25">
      <c r="O373" s="49">
        <v>47949</v>
      </c>
    </row>
    <row r="374" spans="15:15" x14ac:dyDescent="0.25">
      <c r="O374" s="49">
        <v>47959</v>
      </c>
    </row>
    <row r="375" spans="15:15" x14ac:dyDescent="0.25">
      <c r="O375" s="49">
        <v>47969</v>
      </c>
    </row>
    <row r="376" spans="15:15" x14ac:dyDescent="0.25">
      <c r="O376" s="49">
        <v>48011</v>
      </c>
    </row>
    <row r="377" spans="15:15" x14ac:dyDescent="0.25">
      <c r="O377" s="49">
        <v>48098</v>
      </c>
    </row>
    <row r="378" spans="15:15" x14ac:dyDescent="0.25">
      <c r="O378" s="49">
        <v>48133</v>
      </c>
    </row>
    <row r="379" spans="15:15" x14ac:dyDescent="0.25">
      <c r="O379" s="49">
        <v>48154</v>
      </c>
    </row>
    <row r="380" spans="15:15" x14ac:dyDescent="0.25">
      <c r="O380" s="49">
        <v>48167</v>
      </c>
    </row>
    <row r="381" spans="15:15" x14ac:dyDescent="0.25">
      <c r="O381" s="49">
        <v>48172</v>
      </c>
    </row>
    <row r="382" spans="15:15" x14ac:dyDescent="0.25">
      <c r="O382" s="49">
        <v>48207</v>
      </c>
    </row>
    <row r="383" spans="15:15" x14ac:dyDescent="0.25">
      <c r="O383" s="49">
        <v>48214</v>
      </c>
    </row>
    <row r="384" spans="15:15" x14ac:dyDescent="0.25">
      <c r="O384" s="49">
        <v>48253</v>
      </c>
    </row>
    <row r="385" spans="15:15" x14ac:dyDescent="0.25">
      <c r="O385" s="49">
        <v>48254</v>
      </c>
    </row>
    <row r="386" spans="15:15" x14ac:dyDescent="0.25">
      <c r="O386" s="49">
        <v>48299</v>
      </c>
    </row>
    <row r="387" spans="15:15" x14ac:dyDescent="0.25">
      <c r="O387" s="49">
        <v>48325</v>
      </c>
    </row>
    <row r="388" spans="15:15" x14ac:dyDescent="0.25">
      <c r="O388" s="49">
        <v>48335</v>
      </c>
    </row>
    <row r="389" spans="15:15" x14ac:dyDescent="0.25">
      <c r="O389" s="49">
        <v>48361</v>
      </c>
    </row>
    <row r="390" spans="15:15" x14ac:dyDescent="0.25">
      <c r="O390" s="49">
        <v>48464</v>
      </c>
    </row>
    <row r="391" spans="15:15" x14ac:dyDescent="0.25">
      <c r="O391" s="49">
        <v>48499</v>
      </c>
    </row>
    <row r="392" spans="15:15" x14ac:dyDescent="0.25">
      <c r="O392" s="49">
        <v>48520</v>
      </c>
    </row>
    <row r="393" spans="15:15" x14ac:dyDescent="0.25">
      <c r="O393" s="49">
        <v>48533</v>
      </c>
    </row>
    <row r="394" spans="15:15" x14ac:dyDescent="0.25">
      <c r="O394" s="49">
        <v>48538</v>
      </c>
    </row>
    <row r="395" spans="15:15" x14ac:dyDescent="0.25">
      <c r="O395" s="49">
        <v>48573</v>
      </c>
    </row>
    <row r="396" spans="15:15" x14ac:dyDescent="0.25">
      <c r="O396" s="49">
        <v>48580</v>
      </c>
    </row>
    <row r="397" spans="15:15" x14ac:dyDescent="0.25">
      <c r="O397" s="49">
        <v>48638</v>
      </c>
    </row>
    <row r="398" spans="15:15" x14ac:dyDescent="0.25">
      <c r="O398" s="49">
        <v>48639</v>
      </c>
    </row>
    <row r="399" spans="15:15" x14ac:dyDescent="0.25">
      <c r="O399" s="49">
        <v>48684</v>
      </c>
    </row>
    <row r="400" spans="15:15" x14ac:dyDescent="0.25">
      <c r="O400" s="49">
        <v>48690</v>
      </c>
    </row>
    <row r="401" spans="15:15" x14ac:dyDescent="0.25">
      <c r="O401" s="49">
        <v>48700</v>
      </c>
    </row>
    <row r="402" spans="15:15" x14ac:dyDescent="0.25">
      <c r="O402" s="49">
        <v>48746</v>
      </c>
    </row>
    <row r="403" spans="15:15" x14ac:dyDescent="0.25">
      <c r="O403" s="49">
        <v>48829</v>
      </c>
    </row>
    <row r="404" spans="15:15" x14ac:dyDescent="0.25">
      <c r="O404" s="49">
        <v>48864</v>
      </c>
    </row>
    <row r="405" spans="15:15" x14ac:dyDescent="0.25">
      <c r="O405" s="49">
        <v>48885</v>
      </c>
    </row>
    <row r="406" spans="15:15" x14ac:dyDescent="0.25">
      <c r="O406" s="49">
        <v>48898</v>
      </c>
    </row>
    <row r="407" spans="15:15" x14ac:dyDescent="0.25">
      <c r="O407" s="49">
        <v>48903</v>
      </c>
    </row>
    <row r="408" spans="15:15" x14ac:dyDescent="0.25">
      <c r="O408" s="49">
        <v>48938</v>
      </c>
    </row>
    <row r="409" spans="15:15" x14ac:dyDescent="0.25">
      <c r="O409" s="49">
        <v>48945</v>
      </c>
    </row>
    <row r="410" spans="15:15" x14ac:dyDescent="0.25">
      <c r="O410" s="49">
        <v>48995</v>
      </c>
    </row>
    <row r="411" spans="15:15" x14ac:dyDescent="0.25">
      <c r="O411" s="49">
        <v>48996</v>
      </c>
    </row>
    <row r="412" spans="15:15" x14ac:dyDescent="0.25">
      <c r="O412" s="49">
        <v>49041</v>
      </c>
    </row>
    <row r="413" spans="15:15" x14ac:dyDescent="0.25">
      <c r="O413" s="49">
        <v>49055</v>
      </c>
    </row>
    <row r="414" spans="15:15" x14ac:dyDescent="0.25">
      <c r="O414" s="49">
        <v>49065</v>
      </c>
    </row>
    <row r="415" spans="15:15" x14ac:dyDescent="0.25">
      <c r="O415" s="49">
        <v>49103</v>
      </c>
    </row>
    <row r="416" spans="15:15" x14ac:dyDescent="0.25">
      <c r="O416" s="49">
        <v>49194</v>
      </c>
    </row>
    <row r="417" spans="15:15" x14ac:dyDescent="0.25">
      <c r="O417" s="49">
        <v>49229</v>
      </c>
    </row>
    <row r="418" spans="15:15" x14ac:dyDescent="0.25">
      <c r="O418" s="49">
        <v>49250</v>
      </c>
    </row>
    <row r="419" spans="15:15" x14ac:dyDescent="0.25">
      <c r="O419" s="49">
        <v>49263</v>
      </c>
    </row>
    <row r="420" spans="15:15" x14ac:dyDescent="0.25">
      <c r="O420" s="49">
        <v>49268</v>
      </c>
    </row>
    <row r="421" spans="15:15" x14ac:dyDescent="0.25">
      <c r="O421" s="49">
        <v>49303</v>
      </c>
    </row>
    <row r="422" spans="15:15" x14ac:dyDescent="0.25">
      <c r="O422" s="49">
        <v>49310</v>
      </c>
    </row>
    <row r="423" spans="15:15" x14ac:dyDescent="0.25">
      <c r="O423" s="49">
        <v>49345</v>
      </c>
    </row>
    <row r="424" spans="15:15" x14ac:dyDescent="0.25">
      <c r="O424" s="49">
        <v>49346</v>
      </c>
    </row>
    <row r="425" spans="15:15" x14ac:dyDescent="0.25">
      <c r="O425" s="49">
        <v>49391</v>
      </c>
    </row>
    <row r="426" spans="15:15" x14ac:dyDescent="0.25">
      <c r="O426" s="49">
        <v>49420</v>
      </c>
    </row>
    <row r="427" spans="15:15" x14ac:dyDescent="0.25">
      <c r="O427" s="49">
        <v>49430</v>
      </c>
    </row>
    <row r="428" spans="15:15" x14ac:dyDescent="0.25">
      <c r="O428" s="49">
        <v>49453</v>
      </c>
    </row>
    <row r="429" spans="15:15" x14ac:dyDescent="0.25">
      <c r="O429" s="49">
        <v>49559</v>
      </c>
    </row>
    <row r="430" spans="15:15" x14ac:dyDescent="0.25">
      <c r="O430" s="49">
        <v>49594</v>
      </c>
    </row>
    <row r="431" spans="15:15" x14ac:dyDescent="0.25">
      <c r="O431" s="49">
        <v>49615</v>
      </c>
    </row>
    <row r="432" spans="15:15" x14ac:dyDescent="0.25">
      <c r="O432" s="49">
        <v>49628</v>
      </c>
    </row>
    <row r="433" spans="15:15" x14ac:dyDescent="0.25">
      <c r="O433" s="49">
        <v>49633</v>
      </c>
    </row>
    <row r="434" spans="15:15" x14ac:dyDescent="0.25">
      <c r="O434" s="49">
        <v>49668</v>
      </c>
    </row>
    <row r="435" spans="15:15" x14ac:dyDescent="0.25">
      <c r="O435" s="49">
        <v>49675</v>
      </c>
    </row>
    <row r="436" spans="15:15" x14ac:dyDescent="0.25">
      <c r="O436" s="49">
        <v>49730</v>
      </c>
    </row>
    <row r="437" spans="15:15" x14ac:dyDescent="0.25">
      <c r="O437" s="49">
        <v>49731</v>
      </c>
    </row>
    <row r="438" spans="15:15" x14ac:dyDescent="0.25">
      <c r="O438" s="49">
        <v>49776</v>
      </c>
    </row>
    <row r="439" spans="15:15" x14ac:dyDescent="0.25">
      <c r="O439" s="49">
        <v>49786</v>
      </c>
    </row>
    <row r="440" spans="15:15" x14ac:dyDescent="0.25">
      <c r="O440" s="49">
        <v>49796</v>
      </c>
    </row>
    <row r="441" spans="15:15" x14ac:dyDescent="0.25">
      <c r="O441" s="49">
        <v>49838</v>
      </c>
    </row>
    <row r="442" spans="15:15" x14ac:dyDescent="0.25">
      <c r="O442" s="49">
        <v>49925</v>
      </c>
    </row>
    <row r="443" spans="15:15" x14ac:dyDescent="0.25">
      <c r="O443" s="49">
        <v>49960</v>
      </c>
    </row>
    <row r="444" spans="15:15" x14ac:dyDescent="0.25">
      <c r="O444" s="49">
        <v>49981</v>
      </c>
    </row>
    <row r="445" spans="15:15" x14ac:dyDescent="0.25">
      <c r="O445" s="49">
        <v>49994</v>
      </c>
    </row>
    <row r="446" spans="15:15" x14ac:dyDescent="0.25">
      <c r="O446" s="49">
        <v>49999</v>
      </c>
    </row>
    <row r="447" spans="15:15" x14ac:dyDescent="0.25">
      <c r="O447" s="49">
        <v>50034</v>
      </c>
    </row>
    <row r="448" spans="15:15" x14ac:dyDescent="0.25">
      <c r="O448" s="49">
        <v>50041</v>
      </c>
    </row>
    <row r="449" spans="15:15" x14ac:dyDescent="0.25">
      <c r="O449" s="49">
        <v>50087</v>
      </c>
    </row>
    <row r="450" spans="15:15" x14ac:dyDescent="0.25">
      <c r="O450" s="49">
        <v>50088</v>
      </c>
    </row>
    <row r="451" spans="15:15" x14ac:dyDescent="0.25">
      <c r="O451" s="49">
        <v>50133</v>
      </c>
    </row>
    <row r="452" spans="15:15" x14ac:dyDescent="0.25">
      <c r="O452" s="49">
        <v>50151</v>
      </c>
    </row>
    <row r="453" spans="15:15" x14ac:dyDescent="0.25">
      <c r="O453" s="49">
        <v>50161</v>
      </c>
    </row>
    <row r="454" spans="15:15" x14ac:dyDescent="0.25">
      <c r="O454" s="49">
        <v>50195</v>
      </c>
    </row>
    <row r="455" spans="15:15" x14ac:dyDescent="0.25">
      <c r="O455" s="49">
        <v>50290</v>
      </c>
    </row>
    <row r="456" spans="15:15" x14ac:dyDescent="0.25">
      <c r="O456" s="49">
        <v>50325</v>
      </c>
    </row>
    <row r="457" spans="15:15" x14ac:dyDescent="0.25">
      <c r="O457" s="49">
        <v>50346</v>
      </c>
    </row>
    <row r="458" spans="15:15" x14ac:dyDescent="0.25">
      <c r="O458" s="49">
        <v>50359</v>
      </c>
    </row>
    <row r="459" spans="15:15" x14ac:dyDescent="0.25">
      <c r="O459" s="49">
        <v>50364</v>
      </c>
    </row>
    <row r="460" spans="15:15" x14ac:dyDescent="0.25">
      <c r="O460" s="49">
        <v>50399</v>
      </c>
    </row>
    <row r="461" spans="15:15" x14ac:dyDescent="0.25">
      <c r="O461" s="49">
        <v>50406</v>
      </c>
    </row>
    <row r="462" spans="15:15" x14ac:dyDescent="0.25">
      <c r="O462" s="49">
        <v>50472</v>
      </c>
    </row>
    <row r="463" spans="15:15" x14ac:dyDescent="0.25">
      <c r="O463" s="49">
        <v>50473</v>
      </c>
    </row>
    <row r="464" spans="15:15" x14ac:dyDescent="0.25">
      <c r="O464" s="49">
        <v>50516</v>
      </c>
    </row>
    <row r="465" spans="15:15" x14ac:dyDescent="0.25">
      <c r="O465" s="49">
        <v>50518</v>
      </c>
    </row>
    <row r="466" spans="15:15" x14ac:dyDescent="0.25">
      <c r="O466" s="49">
        <v>50526</v>
      </c>
    </row>
    <row r="467" spans="15:15" x14ac:dyDescent="0.25">
      <c r="O467" s="49">
        <v>50580</v>
      </c>
    </row>
    <row r="468" spans="15:15" x14ac:dyDescent="0.25">
      <c r="O468" s="49">
        <v>50655</v>
      </c>
    </row>
    <row r="469" spans="15:15" x14ac:dyDescent="0.25">
      <c r="O469" s="49">
        <v>50690</v>
      </c>
    </row>
    <row r="470" spans="15:15" x14ac:dyDescent="0.25">
      <c r="O470" s="49">
        <v>50711</v>
      </c>
    </row>
    <row r="471" spans="15:15" x14ac:dyDescent="0.25">
      <c r="O471" s="49">
        <v>50724</v>
      </c>
    </row>
    <row r="472" spans="15:15" x14ac:dyDescent="0.25">
      <c r="O472" s="49">
        <v>50729</v>
      </c>
    </row>
    <row r="473" spans="15:15" x14ac:dyDescent="0.25">
      <c r="O473" s="49">
        <v>50764</v>
      </c>
    </row>
    <row r="474" spans="15:15" x14ac:dyDescent="0.25">
      <c r="O474" s="49">
        <v>50771</v>
      </c>
    </row>
    <row r="475" spans="15:15" x14ac:dyDescent="0.25">
      <c r="O475" s="49">
        <v>50822</v>
      </c>
    </row>
    <row r="476" spans="15:15" x14ac:dyDescent="0.25">
      <c r="O476" s="49">
        <v>50823</v>
      </c>
    </row>
    <row r="477" spans="15:15" x14ac:dyDescent="0.25">
      <c r="O477" s="49">
        <v>50868</v>
      </c>
    </row>
    <row r="478" spans="15:15" x14ac:dyDescent="0.25">
      <c r="O478" s="49">
        <v>50881</v>
      </c>
    </row>
    <row r="479" spans="15:15" x14ac:dyDescent="0.25">
      <c r="O479" s="49">
        <v>50891</v>
      </c>
    </row>
    <row r="480" spans="15:15" x14ac:dyDescent="0.25">
      <c r="O480" s="49">
        <v>50930</v>
      </c>
    </row>
    <row r="481" spans="15:15" x14ac:dyDescent="0.25">
      <c r="O481" s="49">
        <v>51020</v>
      </c>
    </row>
    <row r="482" spans="15:15" x14ac:dyDescent="0.25">
      <c r="O482" s="49">
        <v>51055</v>
      </c>
    </row>
    <row r="483" spans="15:15" x14ac:dyDescent="0.25">
      <c r="O483" s="49">
        <v>51076</v>
      </c>
    </row>
    <row r="484" spans="15:15" x14ac:dyDescent="0.25">
      <c r="O484" s="49">
        <v>51089</v>
      </c>
    </row>
    <row r="485" spans="15:15" x14ac:dyDescent="0.25">
      <c r="O485" s="49">
        <v>51094</v>
      </c>
    </row>
    <row r="486" spans="15:15" x14ac:dyDescent="0.25">
      <c r="O486" s="49">
        <v>51129</v>
      </c>
    </row>
    <row r="487" spans="15:15" x14ac:dyDescent="0.25">
      <c r="O487" s="49">
        <v>51136</v>
      </c>
    </row>
    <row r="488" spans="15:15" x14ac:dyDescent="0.25">
      <c r="O488" s="49">
        <v>51179</v>
      </c>
    </row>
    <row r="489" spans="15:15" x14ac:dyDescent="0.25">
      <c r="O489" s="49">
        <v>51180</v>
      </c>
    </row>
    <row r="490" spans="15:15" x14ac:dyDescent="0.25">
      <c r="O490" s="49">
        <v>51225</v>
      </c>
    </row>
    <row r="491" spans="15:15" x14ac:dyDescent="0.25">
      <c r="O491" s="49">
        <v>51247</v>
      </c>
    </row>
    <row r="492" spans="15:15" x14ac:dyDescent="0.25">
      <c r="O492" s="49">
        <v>51257</v>
      </c>
    </row>
    <row r="493" spans="15:15" x14ac:dyDescent="0.25">
      <c r="O493" s="49">
        <v>51287</v>
      </c>
    </row>
    <row r="494" spans="15:15" x14ac:dyDescent="0.25">
      <c r="O494" s="49">
        <v>51386</v>
      </c>
    </row>
    <row r="495" spans="15:15" x14ac:dyDescent="0.25">
      <c r="O495" s="49">
        <v>51421</v>
      </c>
    </row>
    <row r="496" spans="15:15" x14ac:dyDescent="0.25">
      <c r="O496" s="49">
        <v>51442</v>
      </c>
    </row>
    <row r="497" spans="15:15" x14ac:dyDescent="0.25">
      <c r="O497" s="49">
        <v>51455</v>
      </c>
    </row>
    <row r="498" spans="15:15" x14ac:dyDescent="0.25">
      <c r="O498" s="49">
        <v>51460</v>
      </c>
    </row>
    <row r="499" spans="15:15" x14ac:dyDescent="0.25">
      <c r="O499" s="49">
        <v>51495</v>
      </c>
    </row>
    <row r="500" spans="15:15" x14ac:dyDescent="0.25">
      <c r="O500" s="49">
        <v>51502</v>
      </c>
    </row>
    <row r="501" spans="15:15" x14ac:dyDescent="0.25">
      <c r="O501" s="49">
        <v>51564</v>
      </c>
    </row>
    <row r="502" spans="15:15" x14ac:dyDescent="0.25">
      <c r="O502" s="49">
        <v>51565</v>
      </c>
    </row>
    <row r="503" spans="15:15" x14ac:dyDescent="0.25">
      <c r="O503" s="49">
        <v>51610</v>
      </c>
    </row>
    <row r="504" spans="15:15" x14ac:dyDescent="0.25">
      <c r="O504" s="49">
        <v>51612</v>
      </c>
    </row>
    <row r="505" spans="15:15" x14ac:dyDescent="0.25">
      <c r="O505" s="49">
        <v>51622</v>
      </c>
    </row>
    <row r="506" spans="15:15" x14ac:dyDescent="0.25">
      <c r="O506" s="49">
        <v>51672</v>
      </c>
    </row>
    <row r="507" spans="15:15" x14ac:dyDescent="0.25">
      <c r="O507" s="49">
        <v>51751</v>
      </c>
    </row>
    <row r="508" spans="15:15" x14ac:dyDescent="0.25">
      <c r="O508" s="49">
        <v>51786</v>
      </c>
    </row>
    <row r="509" spans="15:15" x14ac:dyDescent="0.25">
      <c r="O509" s="49">
        <v>51807</v>
      </c>
    </row>
    <row r="510" spans="15:15" x14ac:dyDescent="0.25">
      <c r="O510" s="49">
        <v>51820</v>
      </c>
    </row>
    <row r="511" spans="15:15" x14ac:dyDescent="0.25">
      <c r="O511" s="49">
        <v>51825</v>
      </c>
    </row>
    <row r="512" spans="15:15" x14ac:dyDescent="0.25">
      <c r="O512" s="49">
        <v>51860</v>
      </c>
    </row>
    <row r="513" spans="15:15" x14ac:dyDescent="0.25">
      <c r="O513" s="49">
        <v>51867</v>
      </c>
    </row>
    <row r="514" spans="15:15" x14ac:dyDescent="0.25">
      <c r="O514" s="49">
        <v>51914</v>
      </c>
    </row>
    <row r="515" spans="15:15" x14ac:dyDescent="0.25">
      <c r="O515" s="49">
        <v>51915</v>
      </c>
    </row>
    <row r="516" spans="15:15" x14ac:dyDescent="0.25">
      <c r="O516" s="49">
        <v>51960</v>
      </c>
    </row>
    <row r="517" spans="15:15" x14ac:dyDescent="0.25">
      <c r="O517" s="49">
        <v>51977</v>
      </c>
    </row>
    <row r="518" spans="15:15" x14ac:dyDescent="0.25">
      <c r="O518" s="49">
        <v>51987</v>
      </c>
    </row>
    <row r="519" spans="15:15" x14ac:dyDescent="0.25">
      <c r="O519" s="49">
        <v>52022</v>
      </c>
    </row>
    <row r="520" spans="15:15" x14ac:dyDescent="0.25">
      <c r="O520" s="49">
        <v>52116</v>
      </c>
    </row>
    <row r="521" spans="15:15" x14ac:dyDescent="0.25">
      <c r="O521" s="49">
        <v>52151</v>
      </c>
    </row>
    <row r="522" spans="15:15" x14ac:dyDescent="0.25">
      <c r="O522" s="49">
        <v>52172</v>
      </c>
    </row>
    <row r="523" spans="15:15" x14ac:dyDescent="0.25">
      <c r="O523" s="49">
        <v>52185</v>
      </c>
    </row>
    <row r="524" spans="15:15" x14ac:dyDescent="0.25">
      <c r="O524" s="49">
        <v>52190</v>
      </c>
    </row>
    <row r="525" spans="15:15" x14ac:dyDescent="0.25">
      <c r="O525" s="49">
        <v>52225</v>
      </c>
    </row>
    <row r="526" spans="15:15" x14ac:dyDescent="0.25">
      <c r="O526" s="49">
        <v>52232</v>
      </c>
    </row>
    <row r="527" spans="15:15" x14ac:dyDescent="0.25">
      <c r="O527" s="49">
        <v>52271</v>
      </c>
    </row>
    <row r="528" spans="15:15" x14ac:dyDescent="0.25">
      <c r="O528" s="49">
        <v>52272</v>
      </c>
    </row>
    <row r="529" spans="15:15" x14ac:dyDescent="0.25">
      <c r="O529" s="49">
        <v>52317</v>
      </c>
    </row>
    <row r="530" spans="15:15" x14ac:dyDescent="0.25">
      <c r="O530" s="49">
        <v>52342</v>
      </c>
    </row>
    <row r="531" spans="15:15" x14ac:dyDescent="0.25">
      <c r="O531" s="49">
        <v>52352</v>
      </c>
    </row>
    <row r="532" spans="15:15" x14ac:dyDescent="0.25">
      <c r="O532" s="49">
        <v>52379</v>
      </c>
    </row>
    <row r="533" spans="15:15" x14ac:dyDescent="0.25">
      <c r="O533" s="49">
        <v>52481</v>
      </c>
    </row>
    <row r="534" spans="15:15" x14ac:dyDescent="0.25">
      <c r="O534" s="49">
        <v>52516</v>
      </c>
    </row>
    <row r="535" spans="15:15" x14ac:dyDescent="0.25">
      <c r="O535" s="49">
        <v>52537</v>
      </c>
    </row>
    <row r="536" spans="15:15" x14ac:dyDescent="0.25">
      <c r="O536" s="49">
        <v>52550</v>
      </c>
    </row>
    <row r="537" spans="15:15" x14ac:dyDescent="0.25">
      <c r="O537" s="49">
        <v>52555</v>
      </c>
    </row>
    <row r="538" spans="15:15" x14ac:dyDescent="0.25">
      <c r="O538" s="49">
        <v>52590</v>
      </c>
    </row>
    <row r="539" spans="15:15" x14ac:dyDescent="0.25">
      <c r="O539" s="49">
        <v>52597</v>
      </c>
    </row>
    <row r="540" spans="15:15" x14ac:dyDescent="0.25">
      <c r="O540" s="49">
        <v>52656</v>
      </c>
    </row>
    <row r="541" spans="15:15" x14ac:dyDescent="0.25">
      <c r="O541" s="49">
        <v>52657</v>
      </c>
    </row>
    <row r="542" spans="15:15" x14ac:dyDescent="0.25">
      <c r="O542" s="49">
        <v>52702</v>
      </c>
    </row>
    <row r="543" spans="15:15" x14ac:dyDescent="0.25">
      <c r="O543" s="49">
        <v>52708</v>
      </c>
    </row>
    <row r="544" spans="15:15" x14ac:dyDescent="0.25">
      <c r="O544" s="49">
        <v>52718</v>
      </c>
    </row>
    <row r="545" spans="15:15" x14ac:dyDescent="0.25">
      <c r="O545" s="49">
        <v>52764</v>
      </c>
    </row>
    <row r="546" spans="15:15" x14ac:dyDescent="0.25">
      <c r="O546" s="49">
        <v>52847</v>
      </c>
    </row>
    <row r="547" spans="15:15" x14ac:dyDescent="0.25">
      <c r="O547" s="49">
        <v>52882</v>
      </c>
    </row>
    <row r="548" spans="15:15" x14ac:dyDescent="0.25">
      <c r="O548" s="49">
        <v>52903</v>
      </c>
    </row>
    <row r="549" spans="15:15" x14ac:dyDescent="0.25">
      <c r="O549" s="49">
        <v>52916</v>
      </c>
    </row>
    <row r="550" spans="15:15" x14ac:dyDescent="0.25">
      <c r="O550" s="49">
        <v>52921</v>
      </c>
    </row>
    <row r="551" spans="15:15" x14ac:dyDescent="0.25">
      <c r="O551" s="49">
        <v>52956</v>
      </c>
    </row>
    <row r="552" spans="15:15" x14ac:dyDescent="0.25">
      <c r="O552" s="49">
        <v>52963</v>
      </c>
    </row>
    <row r="553" spans="15:15" x14ac:dyDescent="0.25">
      <c r="O553" s="49">
        <v>53013</v>
      </c>
    </row>
    <row r="554" spans="15:15" x14ac:dyDescent="0.25">
      <c r="O554" s="49">
        <v>53014</v>
      </c>
    </row>
    <row r="555" spans="15:15" x14ac:dyDescent="0.25">
      <c r="O555" s="49">
        <v>53059</v>
      </c>
    </row>
    <row r="556" spans="15:15" x14ac:dyDescent="0.25">
      <c r="O556" s="49">
        <v>53073</v>
      </c>
    </row>
    <row r="557" spans="15:15" x14ac:dyDescent="0.25">
      <c r="O557" s="49">
        <v>53083</v>
      </c>
    </row>
    <row r="558" spans="15:15" x14ac:dyDescent="0.25">
      <c r="O558" s="49">
        <v>53121</v>
      </c>
    </row>
    <row r="559" spans="15:15" x14ac:dyDescent="0.25">
      <c r="O559" s="49">
        <v>53212</v>
      </c>
    </row>
    <row r="560" spans="15:15" x14ac:dyDescent="0.25">
      <c r="O560" s="49">
        <v>53247</v>
      </c>
    </row>
    <row r="561" spans="15:15" x14ac:dyDescent="0.25">
      <c r="O561" s="49">
        <v>53268</v>
      </c>
    </row>
    <row r="562" spans="15:15" x14ac:dyDescent="0.25">
      <c r="O562" s="49">
        <v>53281</v>
      </c>
    </row>
    <row r="563" spans="15:15" x14ac:dyDescent="0.25">
      <c r="O563" s="49">
        <v>53286</v>
      </c>
    </row>
    <row r="564" spans="15:15" x14ac:dyDescent="0.25">
      <c r="O564" s="49">
        <v>53321</v>
      </c>
    </row>
    <row r="565" spans="15:15" x14ac:dyDescent="0.25">
      <c r="O565" s="49">
        <v>53328</v>
      </c>
    </row>
    <row r="566" spans="15:15" x14ac:dyDescent="0.25">
      <c r="O566" s="49">
        <v>53363</v>
      </c>
    </row>
    <row r="567" spans="15:15" x14ac:dyDescent="0.25">
      <c r="O567" s="49">
        <v>53364</v>
      </c>
    </row>
    <row r="568" spans="15:15" x14ac:dyDescent="0.25">
      <c r="O568" s="49">
        <v>53409</v>
      </c>
    </row>
    <row r="569" spans="15:15" x14ac:dyDescent="0.25">
      <c r="O569" s="49">
        <v>53438</v>
      </c>
    </row>
    <row r="570" spans="15:15" x14ac:dyDescent="0.25">
      <c r="O570" s="49">
        <v>53448</v>
      </c>
    </row>
    <row r="571" spans="15:15" x14ac:dyDescent="0.25">
      <c r="O571" s="49">
        <v>53471</v>
      </c>
    </row>
    <row r="572" spans="15:15" x14ac:dyDescent="0.25">
      <c r="O572" s="49">
        <v>53577</v>
      </c>
    </row>
    <row r="573" spans="15:15" x14ac:dyDescent="0.25">
      <c r="O573" s="49">
        <v>53612</v>
      </c>
    </row>
    <row r="574" spans="15:15" x14ac:dyDescent="0.25">
      <c r="O574" s="49">
        <v>53633</v>
      </c>
    </row>
    <row r="575" spans="15:15" x14ac:dyDescent="0.25">
      <c r="O575" s="49">
        <v>53646</v>
      </c>
    </row>
    <row r="576" spans="15:15" x14ac:dyDescent="0.25">
      <c r="O576" s="49">
        <v>53651</v>
      </c>
    </row>
    <row r="577" spans="15:15" x14ac:dyDescent="0.25">
      <c r="O577" s="49">
        <v>53686</v>
      </c>
    </row>
    <row r="578" spans="15:15" x14ac:dyDescent="0.25">
      <c r="O578" s="49">
        <v>53693</v>
      </c>
    </row>
    <row r="579" spans="15:15" x14ac:dyDescent="0.25">
      <c r="O579" s="49">
        <v>53748</v>
      </c>
    </row>
    <row r="580" spans="15:15" x14ac:dyDescent="0.25">
      <c r="O580" s="49">
        <v>53749</v>
      </c>
    </row>
    <row r="581" spans="15:15" x14ac:dyDescent="0.25">
      <c r="O581" s="49">
        <v>53794</v>
      </c>
    </row>
    <row r="582" spans="15:15" x14ac:dyDescent="0.25">
      <c r="O582" s="49">
        <v>53803</v>
      </c>
    </row>
    <row r="583" spans="15:15" x14ac:dyDescent="0.25">
      <c r="O583" s="49">
        <v>53813</v>
      </c>
    </row>
    <row r="584" spans="15:15" x14ac:dyDescent="0.25">
      <c r="O584" s="49">
        <v>53856</v>
      </c>
    </row>
    <row r="585" spans="15:15" x14ac:dyDescent="0.25">
      <c r="O585" s="49">
        <v>53942</v>
      </c>
    </row>
    <row r="586" spans="15:15" x14ac:dyDescent="0.25">
      <c r="O586" s="49">
        <v>53977</v>
      </c>
    </row>
    <row r="587" spans="15:15" x14ac:dyDescent="0.25">
      <c r="O587" s="49">
        <v>53998</v>
      </c>
    </row>
    <row r="588" spans="15:15" x14ac:dyDescent="0.25">
      <c r="O588" s="49">
        <v>54011</v>
      </c>
    </row>
    <row r="589" spans="15:15" x14ac:dyDescent="0.25">
      <c r="O589" s="49">
        <v>54016</v>
      </c>
    </row>
    <row r="590" spans="15:15" x14ac:dyDescent="0.25">
      <c r="O590" s="49">
        <v>54051</v>
      </c>
    </row>
    <row r="591" spans="15:15" x14ac:dyDescent="0.25">
      <c r="O591" s="49">
        <v>54058</v>
      </c>
    </row>
    <row r="592" spans="15:15" x14ac:dyDescent="0.25">
      <c r="O592" s="49">
        <v>54105</v>
      </c>
    </row>
    <row r="593" spans="15:15" x14ac:dyDescent="0.25">
      <c r="O593" s="49">
        <v>54106</v>
      </c>
    </row>
    <row r="594" spans="15:15" x14ac:dyDescent="0.25">
      <c r="O594" s="49">
        <v>54151</v>
      </c>
    </row>
    <row r="595" spans="15:15" x14ac:dyDescent="0.25">
      <c r="O595" s="49">
        <v>54169</v>
      </c>
    </row>
    <row r="596" spans="15:15" x14ac:dyDescent="0.25">
      <c r="O596" s="49">
        <v>54179</v>
      </c>
    </row>
    <row r="597" spans="15:15" x14ac:dyDescent="0.25">
      <c r="O597" s="49">
        <v>54213</v>
      </c>
    </row>
    <row r="598" spans="15:15" x14ac:dyDescent="0.25">
      <c r="O598" s="49">
        <v>54308</v>
      </c>
    </row>
    <row r="599" spans="15:15" x14ac:dyDescent="0.25">
      <c r="O599" s="49">
        <v>54343</v>
      </c>
    </row>
    <row r="600" spans="15:15" x14ac:dyDescent="0.25">
      <c r="O600" s="49">
        <v>54364</v>
      </c>
    </row>
    <row r="601" spans="15:15" x14ac:dyDescent="0.25">
      <c r="O601" s="49">
        <v>54377</v>
      </c>
    </row>
    <row r="602" spans="15:15" x14ac:dyDescent="0.25">
      <c r="O602" s="49">
        <v>54382</v>
      </c>
    </row>
    <row r="603" spans="15:15" x14ac:dyDescent="0.25">
      <c r="O603" s="49">
        <v>54417</v>
      </c>
    </row>
    <row r="604" spans="15:15" x14ac:dyDescent="0.25">
      <c r="O604" s="49">
        <v>54424</v>
      </c>
    </row>
    <row r="605" spans="15:15" x14ac:dyDescent="0.25">
      <c r="O605" s="49">
        <v>54483</v>
      </c>
    </row>
    <row r="606" spans="15:15" x14ac:dyDescent="0.25">
      <c r="O606" s="49">
        <v>54484</v>
      </c>
    </row>
    <row r="607" spans="15:15" x14ac:dyDescent="0.25">
      <c r="O607" s="49">
        <v>54529</v>
      </c>
    </row>
    <row r="608" spans="15:15" x14ac:dyDescent="0.25">
      <c r="O608" s="49">
        <v>54534</v>
      </c>
    </row>
    <row r="609" spans="15:15" x14ac:dyDescent="0.25">
      <c r="O609" s="49">
        <v>54544</v>
      </c>
    </row>
    <row r="610" spans="15:15" x14ac:dyDescent="0.25">
      <c r="O610" s="49">
        <v>54591</v>
      </c>
    </row>
    <row r="611" spans="15:15" x14ac:dyDescent="0.25">
      <c r="O611" s="49">
        <v>54673</v>
      </c>
    </row>
    <row r="612" spans="15:15" x14ac:dyDescent="0.25">
      <c r="O612" s="49">
        <v>54708</v>
      </c>
    </row>
    <row r="613" spans="15:15" x14ac:dyDescent="0.25">
      <c r="O613" s="49">
        <v>54729</v>
      </c>
    </row>
    <row r="614" spans="15:15" x14ac:dyDescent="0.25">
      <c r="O614" s="49">
        <v>54742</v>
      </c>
    </row>
    <row r="615" spans="15:15" x14ac:dyDescent="0.25">
      <c r="O615" s="49">
        <v>54747</v>
      </c>
    </row>
    <row r="616" spans="15:15" x14ac:dyDescent="0.25">
      <c r="O616" s="49">
        <v>54782</v>
      </c>
    </row>
    <row r="617" spans="15:15" x14ac:dyDescent="0.25">
      <c r="O617" s="49">
        <v>54789</v>
      </c>
    </row>
    <row r="618" spans="15:15" x14ac:dyDescent="0.25">
      <c r="O618" s="49">
        <v>54840</v>
      </c>
    </row>
    <row r="619" spans="15:15" x14ac:dyDescent="0.25">
      <c r="O619" s="49">
        <v>54841</v>
      </c>
    </row>
    <row r="620" spans="15:15" x14ac:dyDescent="0.25">
      <c r="O620" s="49">
        <v>54886</v>
      </c>
    </row>
    <row r="621" spans="15:15" x14ac:dyDescent="0.25">
      <c r="O621" s="49">
        <v>54899</v>
      </c>
    </row>
    <row r="622" spans="15:15" x14ac:dyDescent="0.25">
      <c r="O622" s="49">
        <v>54909</v>
      </c>
    </row>
    <row r="623" spans="15:15" x14ac:dyDescent="0.25">
      <c r="O623" s="49">
        <v>54948</v>
      </c>
    </row>
    <row r="624" spans="15:15" x14ac:dyDescent="0.25">
      <c r="O624" s="49">
        <v>55038</v>
      </c>
    </row>
    <row r="625" spans="15:15" x14ac:dyDescent="0.25">
      <c r="O625" s="49">
        <v>55073</v>
      </c>
    </row>
    <row r="626" spans="15:15" x14ac:dyDescent="0.25">
      <c r="O626" s="49">
        <v>55094</v>
      </c>
    </row>
    <row r="627" spans="15:15" x14ac:dyDescent="0.25">
      <c r="O627" s="49">
        <v>55107</v>
      </c>
    </row>
    <row r="628" spans="15:15" x14ac:dyDescent="0.25">
      <c r="O628" s="49">
        <v>55112</v>
      </c>
    </row>
    <row r="629" spans="15:15" x14ac:dyDescent="0.25">
      <c r="O629" s="49">
        <v>55147</v>
      </c>
    </row>
    <row r="630" spans="15:15" x14ac:dyDescent="0.25">
      <c r="O630" s="49">
        <v>55154</v>
      </c>
    </row>
    <row r="631" spans="15:15" x14ac:dyDescent="0.25">
      <c r="O631" s="49">
        <v>55197</v>
      </c>
    </row>
    <row r="632" spans="15:15" x14ac:dyDescent="0.25">
      <c r="O632" s="49">
        <v>55198</v>
      </c>
    </row>
    <row r="633" spans="15:15" x14ac:dyDescent="0.25">
      <c r="O633" s="49">
        <v>55243</v>
      </c>
    </row>
    <row r="634" spans="15:15" x14ac:dyDescent="0.25">
      <c r="O634" s="49">
        <v>55264</v>
      </c>
    </row>
    <row r="635" spans="15:15" x14ac:dyDescent="0.25">
      <c r="O635" s="49">
        <v>55274</v>
      </c>
    </row>
    <row r="636" spans="15:15" x14ac:dyDescent="0.25">
      <c r="O636" s="49">
        <v>55305</v>
      </c>
    </row>
    <row r="637" spans="15:15" x14ac:dyDescent="0.25">
      <c r="O637" s="49">
        <v>55403</v>
      </c>
    </row>
    <row r="638" spans="15:15" x14ac:dyDescent="0.25">
      <c r="O638" s="49">
        <v>55438</v>
      </c>
    </row>
    <row r="639" spans="15:15" x14ac:dyDescent="0.25">
      <c r="O639" s="49">
        <v>55459</v>
      </c>
    </row>
    <row r="640" spans="15:15" x14ac:dyDescent="0.25">
      <c r="O640" s="49">
        <v>55472</v>
      </c>
    </row>
    <row r="641" spans="15:15" x14ac:dyDescent="0.25">
      <c r="O641" s="49">
        <v>55477</v>
      </c>
    </row>
    <row r="642" spans="15:15" x14ac:dyDescent="0.25">
      <c r="O642" s="49">
        <v>55512</v>
      </c>
    </row>
    <row r="643" spans="15:15" x14ac:dyDescent="0.25">
      <c r="O643" s="49">
        <v>55519</v>
      </c>
    </row>
    <row r="644" spans="15:15" x14ac:dyDescent="0.25">
      <c r="O644" s="49">
        <v>55582</v>
      </c>
    </row>
    <row r="645" spans="15:15" x14ac:dyDescent="0.25">
      <c r="O645" s="49">
        <v>55583</v>
      </c>
    </row>
    <row r="646" spans="15:15" x14ac:dyDescent="0.25">
      <c r="O646" s="49">
        <v>55628</v>
      </c>
    </row>
    <row r="647" spans="15:15" x14ac:dyDescent="0.25">
      <c r="O647" s="49">
        <v>55630</v>
      </c>
    </row>
    <row r="648" spans="15:15" x14ac:dyDescent="0.25">
      <c r="O648" s="49">
        <v>55640</v>
      </c>
    </row>
    <row r="649" spans="15:15" x14ac:dyDescent="0.25">
      <c r="O649" s="49">
        <v>55690</v>
      </c>
    </row>
    <row r="650" spans="15:15" x14ac:dyDescent="0.25">
      <c r="O650" s="49">
        <v>55769</v>
      </c>
    </row>
    <row r="651" spans="15:15" x14ac:dyDescent="0.25">
      <c r="O651" s="49">
        <v>55804</v>
      </c>
    </row>
    <row r="652" spans="15:15" x14ac:dyDescent="0.25">
      <c r="O652" s="49">
        <v>55825</v>
      </c>
    </row>
    <row r="653" spans="15:15" x14ac:dyDescent="0.25">
      <c r="O653" s="49">
        <v>55838</v>
      </c>
    </row>
    <row r="654" spans="15:15" x14ac:dyDescent="0.25">
      <c r="O654" s="49">
        <v>55843</v>
      </c>
    </row>
    <row r="655" spans="15:15" x14ac:dyDescent="0.25">
      <c r="O655" s="49">
        <v>55878</v>
      </c>
    </row>
    <row r="656" spans="15:15" x14ac:dyDescent="0.25">
      <c r="O656" s="49">
        <v>55885</v>
      </c>
    </row>
    <row r="657" spans="15:15" x14ac:dyDescent="0.25">
      <c r="O657" s="49">
        <v>55932</v>
      </c>
    </row>
    <row r="658" spans="15:15" x14ac:dyDescent="0.25">
      <c r="O658" s="49">
        <v>55933</v>
      </c>
    </row>
    <row r="659" spans="15:15" x14ac:dyDescent="0.25">
      <c r="O659" s="49">
        <v>55978</v>
      </c>
    </row>
    <row r="660" spans="15:15" x14ac:dyDescent="0.25">
      <c r="O660" s="49">
        <v>55995</v>
      </c>
    </row>
    <row r="661" spans="15:15" x14ac:dyDescent="0.25">
      <c r="O661" s="49">
        <v>56005</v>
      </c>
    </row>
    <row r="662" spans="15:15" x14ac:dyDescent="0.25">
      <c r="O662" s="49">
        <v>56040</v>
      </c>
    </row>
    <row r="663" spans="15:15" x14ac:dyDescent="0.25">
      <c r="O663" s="49">
        <v>56134</v>
      </c>
    </row>
    <row r="664" spans="15:15" x14ac:dyDescent="0.25">
      <c r="O664" s="49">
        <v>56169</v>
      </c>
    </row>
    <row r="665" spans="15:15" x14ac:dyDescent="0.25">
      <c r="O665" s="49">
        <v>56190</v>
      </c>
    </row>
    <row r="666" spans="15:15" x14ac:dyDescent="0.25">
      <c r="O666" s="49">
        <v>56203</v>
      </c>
    </row>
    <row r="667" spans="15:15" x14ac:dyDescent="0.25">
      <c r="O667" s="49">
        <v>56208</v>
      </c>
    </row>
    <row r="668" spans="15:15" x14ac:dyDescent="0.25">
      <c r="O668" s="49">
        <v>56243</v>
      </c>
    </row>
    <row r="669" spans="15:15" x14ac:dyDescent="0.25">
      <c r="O669" s="49">
        <v>56250</v>
      </c>
    </row>
    <row r="670" spans="15:15" x14ac:dyDescent="0.25">
      <c r="O670" s="49">
        <v>56289</v>
      </c>
    </row>
    <row r="671" spans="15:15" x14ac:dyDescent="0.25">
      <c r="O671" s="49">
        <v>56290</v>
      </c>
    </row>
    <row r="672" spans="15:15" x14ac:dyDescent="0.25">
      <c r="O672" s="49">
        <v>56335</v>
      </c>
    </row>
    <row r="673" spans="15:15" x14ac:dyDescent="0.25">
      <c r="O673" s="49">
        <v>56360</v>
      </c>
    </row>
    <row r="674" spans="15:15" x14ac:dyDescent="0.25">
      <c r="O674" s="49">
        <v>56370</v>
      </c>
    </row>
    <row r="675" spans="15:15" x14ac:dyDescent="0.25">
      <c r="O675" s="49">
        <v>56397</v>
      </c>
    </row>
    <row r="676" spans="15:15" x14ac:dyDescent="0.25">
      <c r="O676" s="49">
        <v>56499</v>
      </c>
    </row>
    <row r="677" spans="15:15" x14ac:dyDescent="0.25">
      <c r="O677" s="49">
        <v>56534</v>
      </c>
    </row>
    <row r="678" spans="15:15" x14ac:dyDescent="0.25">
      <c r="O678" s="49">
        <v>56555</v>
      </c>
    </row>
    <row r="679" spans="15:15" x14ac:dyDescent="0.25">
      <c r="O679" s="49">
        <v>56568</v>
      </c>
    </row>
    <row r="680" spans="15:15" x14ac:dyDescent="0.25">
      <c r="O680" s="49">
        <v>56573</v>
      </c>
    </row>
    <row r="681" spans="15:15" x14ac:dyDescent="0.25">
      <c r="O681" s="49">
        <v>56608</v>
      </c>
    </row>
    <row r="682" spans="15:15" x14ac:dyDescent="0.25">
      <c r="O682" s="49">
        <v>56615</v>
      </c>
    </row>
    <row r="683" spans="15:15" x14ac:dyDescent="0.25">
      <c r="O683" s="49">
        <v>56674</v>
      </c>
    </row>
    <row r="684" spans="15:15" x14ac:dyDescent="0.25">
      <c r="O684" s="49">
        <v>56675</v>
      </c>
    </row>
    <row r="685" spans="15:15" x14ac:dyDescent="0.25">
      <c r="O685" s="49">
        <v>56720</v>
      </c>
    </row>
    <row r="686" spans="15:15" x14ac:dyDescent="0.25">
      <c r="O686" s="49">
        <v>56725</v>
      </c>
    </row>
    <row r="687" spans="15:15" x14ac:dyDescent="0.25">
      <c r="O687" s="49">
        <v>56735</v>
      </c>
    </row>
    <row r="688" spans="15:15" x14ac:dyDescent="0.25">
      <c r="O688" s="49">
        <v>56782</v>
      </c>
    </row>
    <row r="689" spans="15:15" x14ac:dyDescent="0.25">
      <c r="O689" s="49">
        <v>56864</v>
      </c>
    </row>
    <row r="690" spans="15:15" x14ac:dyDescent="0.25">
      <c r="O690" s="49">
        <v>56899</v>
      </c>
    </row>
    <row r="691" spans="15:15" x14ac:dyDescent="0.25">
      <c r="O691" s="49">
        <v>56920</v>
      </c>
    </row>
    <row r="692" spans="15:15" x14ac:dyDescent="0.25">
      <c r="O692" s="49">
        <v>56933</v>
      </c>
    </row>
    <row r="693" spans="15:15" x14ac:dyDescent="0.25">
      <c r="O693" s="49">
        <v>56938</v>
      </c>
    </row>
    <row r="694" spans="15:15" x14ac:dyDescent="0.25">
      <c r="O694" s="49">
        <v>56973</v>
      </c>
    </row>
    <row r="695" spans="15:15" x14ac:dyDescent="0.25">
      <c r="O695" s="49">
        <v>56980</v>
      </c>
    </row>
    <row r="696" spans="15:15" x14ac:dyDescent="0.25">
      <c r="O696" s="49">
        <v>57024</v>
      </c>
    </row>
    <row r="697" spans="15:15" x14ac:dyDescent="0.25">
      <c r="O697" s="49">
        <v>57025</v>
      </c>
    </row>
    <row r="698" spans="15:15" x14ac:dyDescent="0.25">
      <c r="O698" s="49">
        <v>57070</v>
      </c>
    </row>
    <row r="699" spans="15:15" x14ac:dyDescent="0.25">
      <c r="O699" s="49">
        <v>57091</v>
      </c>
    </row>
    <row r="700" spans="15:15" x14ac:dyDescent="0.25">
      <c r="O700" s="49">
        <v>57101</v>
      </c>
    </row>
    <row r="701" spans="15:15" x14ac:dyDescent="0.25">
      <c r="O701" s="49">
        <v>57132</v>
      </c>
    </row>
    <row r="702" spans="15:15" x14ac:dyDescent="0.25">
      <c r="O702" s="49">
        <v>57230</v>
      </c>
    </row>
    <row r="703" spans="15:15" x14ac:dyDescent="0.25">
      <c r="O703" s="49">
        <v>57265</v>
      </c>
    </row>
    <row r="704" spans="15:15" x14ac:dyDescent="0.25">
      <c r="O704" s="49">
        <v>57286</v>
      </c>
    </row>
    <row r="705" spans="15:15" x14ac:dyDescent="0.25">
      <c r="O705" s="49">
        <v>57299</v>
      </c>
    </row>
    <row r="706" spans="15:15" x14ac:dyDescent="0.25">
      <c r="O706" s="49">
        <v>57304</v>
      </c>
    </row>
    <row r="707" spans="15:15" x14ac:dyDescent="0.25">
      <c r="O707" s="49">
        <v>57339</v>
      </c>
    </row>
    <row r="708" spans="15:15" x14ac:dyDescent="0.25">
      <c r="O708" s="49">
        <v>57346</v>
      </c>
    </row>
    <row r="709" spans="15:15" x14ac:dyDescent="0.25">
      <c r="O709" s="49">
        <v>57409</v>
      </c>
    </row>
    <row r="710" spans="15:15" x14ac:dyDescent="0.25">
      <c r="O710" s="49">
        <v>57410</v>
      </c>
    </row>
    <row r="711" spans="15:15" x14ac:dyDescent="0.25">
      <c r="O711" s="49">
        <v>57455</v>
      </c>
    </row>
    <row r="712" spans="15:15" x14ac:dyDescent="0.25">
      <c r="O712" s="49">
        <v>57456</v>
      </c>
    </row>
    <row r="713" spans="15:15" x14ac:dyDescent="0.25">
      <c r="O713" s="49">
        <v>57466</v>
      </c>
    </row>
    <row r="714" spans="15:15" x14ac:dyDescent="0.25">
      <c r="O714" s="49">
        <v>57517</v>
      </c>
    </row>
    <row r="715" spans="15:15" x14ac:dyDescent="0.25">
      <c r="O715" s="49">
        <v>57595</v>
      </c>
    </row>
    <row r="716" spans="15:15" x14ac:dyDescent="0.25">
      <c r="O716" s="49">
        <v>57630</v>
      </c>
    </row>
    <row r="717" spans="15:15" x14ac:dyDescent="0.25">
      <c r="O717" s="49">
        <v>57651</v>
      </c>
    </row>
    <row r="718" spans="15:15" x14ac:dyDescent="0.25">
      <c r="O718" s="49">
        <v>57664</v>
      </c>
    </row>
    <row r="719" spans="15:15" x14ac:dyDescent="0.25">
      <c r="O719" s="49">
        <v>57669</v>
      </c>
    </row>
    <row r="720" spans="15:15" x14ac:dyDescent="0.25">
      <c r="O720" s="49">
        <v>57704</v>
      </c>
    </row>
    <row r="721" spans="15:15" x14ac:dyDescent="0.25">
      <c r="O721" s="49">
        <v>57711</v>
      </c>
    </row>
    <row r="722" spans="15:15" x14ac:dyDescent="0.25">
      <c r="O722" s="49">
        <v>57766</v>
      </c>
    </row>
    <row r="723" spans="15:15" x14ac:dyDescent="0.25">
      <c r="O723" s="49">
        <v>57767</v>
      </c>
    </row>
    <row r="724" spans="15:15" x14ac:dyDescent="0.25">
      <c r="O724" s="49">
        <v>57812</v>
      </c>
    </row>
    <row r="725" spans="15:15" x14ac:dyDescent="0.25">
      <c r="O725" s="49">
        <v>57821</v>
      </c>
    </row>
    <row r="726" spans="15:15" x14ac:dyDescent="0.25">
      <c r="O726" s="49">
        <v>57831</v>
      </c>
    </row>
    <row r="727" spans="15:15" x14ac:dyDescent="0.25">
      <c r="O727" s="49">
        <v>57874</v>
      </c>
    </row>
    <row r="728" spans="15:15" x14ac:dyDescent="0.25">
      <c r="O728" s="49">
        <v>57960</v>
      </c>
    </row>
    <row r="729" spans="15:15" x14ac:dyDescent="0.25">
      <c r="O729" s="49">
        <v>57995</v>
      </c>
    </row>
    <row r="730" spans="15:15" x14ac:dyDescent="0.25">
      <c r="O730" s="49">
        <v>58016</v>
      </c>
    </row>
    <row r="731" spans="15:15" x14ac:dyDescent="0.25">
      <c r="O731" s="49">
        <v>58029</v>
      </c>
    </row>
    <row r="732" spans="15:15" x14ac:dyDescent="0.25">
      <c r="O732" s="49">
        <v>58034</v>
      </c>
    </row>
    <row r="733" spans="15:15" x14ac:dyDescent="0.25">
      <c r="O733" s="49">
        <v>58069</v>
      </c>
    </row>
    <row r="734" spans="15:15" x14ac:dyDescent="0.25">
      <c r="O734" s="49">
        <v>58076</v>
      </c>
    </row>
    <row r="735" spans="15:15" x14ac:dyDescent="0.25">
      <c r="O735" s="49">
        <v>58116</v>
      </c>
    </row>
    <row r="736" spans="15:15" x14ac:dyDescent="0.25">
      <c r="O736" s="49">
        <v>58117</v>
      </c>
    </row>
    <row r="737" spans="15:15" x14ac:dyDescent="0.25">
      <c r="O737" s="49">
        <v>58162</v>
      </c>
    </row>
    <row r="738" spans="15:15" x14ac:dyDescent="0.25">
      <c r="O738" s="49">
        <v>58186</v>
      </c>
    </row>
    <row r="739" spans="15:15" x14ac:dyDescent="0.25">
      <c r="O739" s="49">
        <v>58196</v>
      </c>
    </row>
    <row r="740" spans="15:15" x14ac:dyDescent="0.25">
      <c r="O740" s="49">
        <v>58224</v>
      </c>
    </row>
    <row r="741" spans="15:15" x14ac:dyDescent="0.25">
      <c r="O741" s="49">
        <v>58325</v>
      </c>
    </row>
    <row r="742" spans="15:15" x14ac:dyDescent="0.25">
      <c r="O742" s="49">
        <v>58360</v>
      </c>
    </row>
    <row r="743" spans="15:15" x14ac:dyDescent="0.25">
      <c r="O743" s="49">
        <v>58381</v>
      </c>
    </row>
    <row r="744" spans="15:15" x14ac:dyDescent="0.25">
      <c r="O744" s="49">
        <v>58394</v>
      </c>
    </row>
    <row r="745" spans="15:15" x14ac:dyDescent="0.25">
      <c r="O745" s="49">
        <v>58399</v>
      </c>
    </row>
    <row r="746" spans="15:15" x14ac:dyDescent="0.25">
      <c r="O746" s="49">
        <v>58434</v>
      </c>
    </row>
    <row r="747" spans="15:15" x14ac:dyDescent="0.25">
      <c r="O747" s="49">
        <v>58441</v>
      </c>
    </row>
    <row r="748" spans="15:15" x14ac:dyDescent="0.25">
      <c r="O748" s="49">
        <v>58501</v>
      </c>
    </row>
    <row r="749" spans="15:15" x14ac:dyDescent="0.25">
      <c r="O749" s="49">
        <v>58502</v>
      </c>
    </row>
    <row r="750" spans="15:15" x14ac:dyDescent="0.25">
      <c r="O750" s="49">
        <v>58547</v>
      </c>
    </row>
    <row r="751" spans="15:15" x14ac:dyDescent="0.25">
      <c r="O751" s="49">
        <v>58552</v>
      </c>
    </row>
    <row r="752" spans="15:15" x14ac:dyDescent="0.25">
      <c r="O752" s="49">
        <v>58562</v>
      </c>
    </row>
    <row r="753" spans="15:15" x14ac:dyDescent="0.25">
      <c r="O753" s="49">
        <v>58609</v>
      </c>
    </row>
    <row r="754" spans="15:15" x14ac:dyDescent="0.25">
      <c r="O754" s="49">
        <v>58691</v>
      </c>
    </row>
    <row r="755" spans="15:15" x14ac:dyDescent="0.25">
      <c r="O755" s="49">
        <v>58726</v>
      </c>
    </row>
    <row r="756" spans="15:15" x14ac:dyDescent="0.25">
      <c r="O756" s="49">
        <v>58747</v>
      </c>
    </row>
    <row r="757" spans="15:15" x14ac:dyDescent="0.25">
      <c r="O757" s="49">
        <v>58760</v>
      </c>
    </row>
    <row r="758" spans="15:15" x14ac:dyDescent="0.25">
      <c r="O758" s="49">
        <v>58765</v>
      </c>
    </row>
    <row r="759" spans="15:15" x14ac:dyDescent="0.25">
      <c r="O759" s="49">
        <v>58800</v>
      </c>
    </row>
    <row r="760" spans="15:15" x14ac:dyDescent="0.25">
      <c r="O760" s="49">
        <v>58807</v>
      </c>
    </row>
    <row r="761" spans="15:15" x14ac:dyDescent="0.25">
      <c r="O761" s="49">
        <v>58858</v>
      </c>
    </row>
    <row r="762" spans="15:15" x14ac:dyDescent="0.25">
      <c r="O762" s="49">
        <v>58859</v>
      </c>
    </row>
    <row r="763" spans="15:15" x14ac:dyDescent="0.25">
      <c r="O763" s="49">
        <v>58904</v>
      </c>
    </row>
    <row r="764" spans="15:15" x14ac:dyDescent="0.25">
      <c r="O764" s="49">
        <v>58917</v>
      </c>
    </row>
    <row r="765" spans="15:15" x14ac:dyDescent="0.25">
      <c r="O765" s="49">
        <v>58927</v>
      </c>
    </row>
    <row r="766" spans="15:15" x14ac:dyDescent="0.25">
      <c r="O766" s="49">
        <v>58966</v>
      </c>
    </row>
    <row r="767" spans="15:15" x14ac:dyDescent="0.25">
      <c r="O767" s="49">
        <v>59056</v>
      </c>
    </row>
    <row r="768" spans="15:15" x14ac:dyDescent="0.25">
      <c r="O768" s="49">
        <v>59091</v>
      </c>
    </row>
    <row r="769" spans="15:15" x14ac:dyDescent="0.25">
      <c r="O769" s="49">
        <v>59112</v>
      </c>
    </row>
    <row r="770" spans="15:15" x14ac:dyDescent="0.25">
      <c r="O770" s="49">
        <v>59125</v>
      </c>
    </row>
    <row r="771" spans="15:15" x14ac:dyDescent="0.25">
      <c r="O771" s="49">
        <v>59130</v>
      </c>
    </row>
    <row r="772" spans="15:15" x14ac:dyDescent="0.25">
      <c r="O772" s="49">
        <v>59165</v>
      </c>
    </row>
    <row r="773" spans="15:15" x14ac:dyDescent="0.25">
      <c r="O773" s="49">
        <v>59172</v>
      </c>
    </row>
    <row r="774" spans="15:15" x14ac:dyDescent="0.25">
      <c r="O774" s="49">
        <v>59208</v>
      </c>
    </row>
    <row r="775" spans="15:15" x14ac:dyDescent="0.25">
      <c r="O775" s="49">
        <v>59209</v>
      </c>
    </row>
    <row r="776" spans="15:15" x14ac:dyDescent="0.25">
      <c r="O776" s="49">
        <v>59254</v>
      </c>
    </row>
    <row r="777" spans="15:15" x14ac:dyDescent="0.25">
      <c r="O777" s="49">
        <v>59282</v>
      </c>
    </row>
    <row r="778" spans="15:15" x14ac:dyDescent="0.25">
      <c r="O778" s="49">
        <v>59292</v>
      </c>
    </row>
    <row r="779" spans="15:15" x14ac:dyDescent="0.25">
      <c r="O779" s="49">
        <v>59316</v>
      </c>
    </row>
    <row r="780" spans="15:15" x14ac:dyDescent="0.25">
      <c r="O780" s="49">
        <v>59421</v>
      </c>
    </row>
    <row r="781" spans="15:15" x14ac:dyDescent="0.25">
      <c r="O781" s="49">
        <v>59456</v>
      </c>
    </row>
    <row r="782" spans="15:15" x14ac:dyDescent="0.25">
      <c r="O782" s="49">
        <v>59477</v>
      </c>
    </row>
    <row r="783" spans="15:15" x14ac:dyDescent="0.25">
      <c r="O783" s="49">
        <v>59490</v>
      </c>
    </row>
    <row r="784" spans="15:15" x14ac:dyDescent="0.25">
      <c r="O784" s="49">
        <v>59495</v>
      </c>
    </row>
    <row r="785" spans="15:15" x14ac:dyDescent="0.25">
      <c r="O785" s="49">
        <v>59530</v>
      </c>
    </row>
    <row r="786" spans="15:15" x14ac:dyDescent="0.25">
      <c r="O786" s="49">
        <v>59537</v>
      </c>
    </row>
    <row r="787" spans="15:15" x14ac:dyDescent="0.25">
      <c r="O787" s="49">
        <v>59593</v>
      </c>
    </row>
    <row r="788" spans="15:15" x14ac:dyDescent="0.25">
      <c r="O788" s="49">
        <v>59594</v>
      </c>
    </row>
    <row r="789" spans="15:15" x14ac:dyDescent="0.25">
      <c r="O789" s="49">
        <v>59639</v>
      </c>
    </row>
    <row r="790" spans="15:15" x14ac:dyDescent="0.25">
      <c r="O790" s="49">
        <v>59647</v>
      </c>
    </row>
    <row r="791" spans="15:15" x14ac:dyDescent="0.25">
      <c r="O791" s="49">
        <v>59657</v>
      </c>
    </row>
    <row r="792" spans="15:15" x14ac:dyDescent="0.25">
      <c r="O792" s="49">
        <v>59701</v>
      </c>
    </row>
    <row r="793" spans="15:15" x14ac:dyDescent="0.25">
      <c r="O793" s="49">
        <v>59786</v>
      </c>
    </row>
    <row r="794" spans="15:15" x14ac:dyDescent="0.25">
      <c r="O794" s="49">
        <v>59821</v>
      </c>
    </row>
    <row r="795" spans="15:15" x14ac:dyDescent="0.25">
      <c r="O795" s="49">
        <v>59842</v>
      </c>
    </row>
    <row r="796" spans="15:15" x14ac:dyDescent="0.25">
      <c r="O796" s="49">
        <v>59855</v>
      </c>
    </row>
    <row r="797" spans="15:15" x14ac:dyDescent="0.25">
      <c r="O797" s="49">
        <v>59860</v>
      </c>
    </row>
    <row r="798" spans="15:15" x14ac:dyDescent="0.25">
      <c r="O798" s="49">
        <v>59895</v>
      </c>
    </row>
    <row r="799" spans="15:15" x14ac:dyDescent="0.25">
      <c r="O799" s="49">
        <v>59902</v>
      </c>
    </row>
    <row r="800" spans="15:15" x14ac:dyDescent="0.25">
      <c r="O800" s="49">
        <v>59950</v>
      </c>
    </row>
    <row r="801" spans="15:15" x14ac:dyDescent="0.25">
      <c r="O801" s="49">
        <v>59951</v>
      </c>
    </row>
    <row r="802" spans="15:15" x14ac:dyDescent="0.25">
      <c r="O802" s="49">
        <v>59996</v>
      </c>
    </row>
    <row r="803" spans="15:15" x14ac:dyDescent="0.25">
      <c r="O803" s="49">
        <v>60013</v>
      </c>
    </row>
    <row r="804" spans="15:15" x14ac:dyDescent="0.25">
      <c r="O804" s="49">
        <v>60023</v>
      </c>
    </row>
    <row r="805" spans="15:15" x14ac:dyDescent="0.25">
      <c r="O805" s="49">
        <v>60058</v>
      </c>
    </row>
    <row r="806" spans="15:15" x14ac:dyDescent="0.25">
      <c r="O806" s="49">
        <v>60152</v>
      </c>
    </row>
    <row r="807" spans="15:15" x14ac:dyDescent="0.25">
      <c r="O807" s="49">
        <v>60187</v>
      </c>
    </row>
    <row r="808" spans="15:15" x14ac:dyDescent="0.25">
      <c r="O808" s="49">
        <v>60208</v>
      </c>
    </row>
    <row r="809" spans="15:15" x14ac:dyDescent="0.25">
      <c r="O809" s="49">
        <v>60221</v>
      </c>
    </row>
    <row r="810" spans="15:15" x14ac:dyDescent="0.25">
      <c r="O810" s="49">
        <v>60226</v>
      </c>
    </row>
    <row r="811" spans="15:15" x14ac:dyDescent="0.25">
      <c r="O811" s="49">
        <v>60261</v>
      </c>
    </row>
    <row r="812" spans="15:15" x14ac:dyDescent="0.25">
      <c r="O812" s="49">
        <v>60268</v>
      </c>
    </row>
    <row r="813" spans="15:15" x14ac:dyDescent="0.25">
      <c r="O813" s="49">
        <v>60307</v>
      </c>
    </row>
    <row r="814" spans="15:15" x14ac:dyDescent="0.25">
      <c r="O814" s="49">
        <v>60308</v>
      </c>
    </row>
    <row r="815" spans="15:15" x14ac:dyDescent="0.25">
      <c r="O815" s="49">
        <v>60353</v>
      </c>
    </row>
    <row r="816" spans="15:15" x14ac:dyDescent="0.25">
      <c r="O816" s="49">
        <v>60378</v>
      </c>
    </row>
    <row r="817" spans="15:15" x14ac:dyDescent="0.25">
      <c r="O817" s="49">
        <v>60388</v>
      </c>
    </row>
    <row r="818" spans="15:15" x14ac:dyDescent="0.25">
      <c r="O818" s="49">
        <v>60415</v>
      </c>
    </row>
    <row r="819" spans="15:15" x14ac:dyDescent="0.25">
      <c r="O819" s="49">
        <v>60517</v>
      </c>
    </row>
    <row r="820" spans="15:15" x14ac:dyDescent="0.25">
      <c r="O820" s="49">
        <v>60552</v>
      </c>
    </row>
    <row r="821" spans="15:15" x14ac:dyDescent="0.25">
      <c r="O821" s="49">
        <v>60573</v>
      </c>
    </row>
    <row r="822" spans="15:15" x14ac:dyDescent="0.25">
      <c r="O822" s="49">
        <v>60586</v>
      </c>
    </row>
    <row r="823" spans="15:15" x14ac:dyDescent="0.25">
      <c r="O823" s="49">
        <v>60591</v>
      </c>
    </row>
    <row r="824" spans="15:15" x14ac:dyDescent="0.25">
      <c r="O824" s="49">
        <v>60626</v>
      </c>
    </row>
    <row r="825" spans="15:15" x14ac:dyDescent="0.25">
      <c r="O825" s="49">
        <v>60633</v>
      </c>
    </row>
    <row r="826" spans="15:15" x14ac:dyDescent="0.25">
      <c r="O826" s="49">
        <v>60685</v>
      </c>
    </row>
    <row r="827" spans="15:15" x14ac:dyDescent="0.25">
      <c r="O827" s="49">
        <v>60686</v>
      </c>
    </row>
    <row r="828" spans="15:15" x14ac:dyDescent="0.25">
      <c r="O828" s="49">
        <v>60731</v>
      </c>
    </row>
    <row r="829" spans="15:15" x14ac:dyDescent="0.25">
      <c r="O829" s="49">
        <v>60743</v>
      </c>
    </row>
    <row r="830" spans="15:15" x14ac:dyDescent="0.25">
      <c r="O830" s="49">
        <v>60753</v>
      </c>
    </row>
    <row r="831" spans="15:15" x14ac:dyDescent="0.25">
      <c r="O831" s="49">
        <v>60793</v>
      </c>
    </row>
    <row r="832" spans="15:15" x14ac:dyDescent="0.25">
      <c r="O832" s="49">
        <v>60882</v>
      </c>
    </row>
    <row r="833" spans="15:15" x14ac:dyDescent="0.25">
      <c r="O833" s="49">
        <v>60917</v>
      </c>
    </row>
    <row r="834" spans="15:15" x14ac:dyDescent="0.25">
      <c r="O834" s="49">
        <v>60938</v>
      </c>
    </row>
    <row r="835" spans="15:15" x14ac:dyDescent="0.25">
      <c r="O835" s="49">
        <v>60951</v>
      </c>
    </row>
    <row r="836" spans="15:15" x14ac:dyDescent="0.25">
      <c r="O836" s="49">
        <v>60956</v>
      </c>
    </row>
    <row r="837" spans="15:15" x14ac:dyDescent="0.25">
      <c r="O837" s="49">
        <v>60991</v>
      </c>
    </row>
    <row r="838" spans="15:15" x14ac:dyDescent="0.25">
      <c r="O838" s="49">
        <v>60998</v>
      </c>
    </row>
    <row r="839" spans="15:15" x14ac:dyDescent="0.25">
      <c r="O839" s="49">
        <v>61042</v>
      </c>
    </row>
    <row r="840" spans="15:15" x14ac:dyDescent="0.25">
      <c r="O840" s="49">
        <v>61043</v>
      </c>
    </row>
    <row r="841" spans="15:15" x14ac:dyDescent="0.25">
      <c r="O841" s="49">
        <v>61088</v>
      </c>
    </row>
    <row r="842" spans="15:15" x14ac:dyDescent="0.25">
      <c r="O842" s="49">
        <v>61108</v>
      </c>
    </row>
    <row r="843" spans="15:15" x14ac:dyDescent="0.25">
      <c r="O843" s="49">
        <v>61118</v>
      </c>
    </row>
    <row r="844" spans="15:15" x14ac:dyDescent="0.25">
      <c r="O844" s="49">
        <v>61150</v>
      </c>
    </row>
    <row r="845" spans="15:15" x14ac:dyDescent="0.25">
      <c r="O845" s="49">
        <v>61247</v>
      </c>
    </row>
    <row r="846" spans="15:15" x14ac:dyDescent="0.25">
      <c r="O846" s="49">
        <v>61282</v>
      </c>
    </row>
    <row r="847" spans="15:15" x14ac:dyDescent="0.25">
      <c r="O847" s="49">
        <v>61303</v>
      </c>
    </row>
    <row r="848" spans="15:15" x14ac:dyDescent="0.25">
      <c r="O848" s="49">
        <v>61316</v>
      </c>
    </row>
    <row r="849" spans="15:15" x14ac:dyDescent="0.25">
      <c r="O849" s="49">
        <v>61321</v>
      </c>
    </row>
    <row r="850" spans="15:15" x14ac:dyDescent="0.25">
      <c r="O850" s="49">
        <v>61356</v>
      </c>
    </row>
    <row r="851" spans="15:15" x14ac:dyDescent="0.25">
      <c r="O851" s="49">
        <v>61363</v>
      </c>
    </row>
    <row r="852" spans="15:15" x14ac:dyDescent="0.25">
      <c r="O852" s="49">
        <v>61427</v>
      </c>
    </row>
    <row r="853" spans="15:15" x14ac:dyDescent="0.25">
      <c r="O853" s="49">
        <v>61428</v>
      </c>
    </row>
    <row r="854" spans="15:15" x14ac:dyDescent="0.25">
      <c r="O854" s="49">
        <v>61473</v>
      </c>
    </row>
    <row r="855" spans="15:15" x14ac:dyDescent="0.25">
      <c r="O855" s="49">
        <v>61474</v>
      </c>
    </row>
    <row r="856" spans="15:15" x14ac:dyDescent="0.25">
      <c r="O856" s="49">
        <v>61484</v>
      </c>
    </row>
    <row r="857" spans="15:15" x14ac:dyDescent="0.25">
      <c r="O857" s="49">
        <v>61535</v>
      </c>
    </row>
    <row r="858" spans="15:15" x14ac:dyDescent="0.25">
      <c r="O858" s="49">
        <v>61613</v>
      </c>
    </row>
    <row r="859" spans="15:15" x14ac:dyDescent="0.25">
      <c r="O859" s="49">
        <v>61648</v>
      </c>
    </row>
    <row r="860" spans="15:15" x14ac:dyDescent="0.25">
      <c r="O860" s="49">
        <v>61669</v>
      </c>
    </row>
    <row r="861" spans="15:15" x14ac:dyDescent="0.25">
      <c r="O861" s="49">
        <v>61682</v>
      </c>
    </row>
    <row r="862" spans="15:15" x14ac:dyDescent="0.25">
      <c r="O862" s="49">
        <v>61687</v>
      </c>
    </row>
    <row r="863" spans="15:15" x14ac:dyDescent="0.25">
      <c r="O863" s="49">
        <v>61722</v>
      </c>
    </row>
    <row r="864" spans="15:15" x14ac:dyDescent="0.25">
      <c r="O864" s="49">
        <v>61729</v>
      </c>
    </row>
    <row r="865" spans="15:15" x14ac:dyDescent="0.25">
      <c r="O865" s="49">
        <v>61784</v>
      </c>
    </row>
    <row r="866" spans="15:15" x14ac:dyDescent="0.25">
      <c r="O866" s="49">
        <v>61785</v>
      </c>
    </row>
    <row r="867" spans="15:15" x14ac:dyDescent="0.25">
      <c r="O867" s="49">
        <v>61830</v>
      </c>
    </row>
    <row r="868" spans="15:15" x14ac:dyDescent="0.25">
      <c r="O868" s="49">
        <v>61839</v>
      </c>
    </row>
    <row r="869" spans="15:15" x14ac:dyDescent="0.25">
      <c r="O869" s="49">
        <v>61849</v>
      </c>
    </row>
    <row r="870" spans="15:15" x14ac:dyDescent="0.25">
      <c r="O870" s="49">
        <v>61892</v>
      </c>
    </row>
    <row r="871" spans="15:15" x14ac:dyDescent="0.25">
      <c r="O871" s="49">
        <v>61978</v>
      </c>
    </row>
    <row r="872" spans="15:15" x14ac:dyDescent="0.25">
      <c r="O872" s="49">
        <v>62013</v>
      </c>
    </row>
    <row r="873" spans="15:15" x14ac:dyDescent="0.25">
      <c r="O873" s="49">
        <v>62034</v>
      </c>
    </row>
    <row r="874" spans="15:15" x14ac:dyDescent="0.25">
      <c r="O874" s="49">
        <v>62047</v>
      </c>
    </row>
    <row r="875" spans="15:15" x14ac:dyDescent="0.25">
      <c r="O875" s="49">
        <v>62052</v>
      </c>
    </row>
    <row r="876" spans="15:15" x14ac:dyDescent="0.25">
      <c r="O876" s="49">
        <v>62087</v>
      </c>
    </row>
    <row r="877" spans="15:15" x14ac:dyDescent="0.25">
      <c r="O877" s="49">
        <v>62094</v>
      </c>
    </row>
    <row r="878" spans="15:15" x14ac:dyDescent="0.25">
      <c r="O878" s="49">
        <v>62134</v>
      </c>
    </row>
    <row r="879" spans="15:15" x14ac:dyDescent="0.25">
      <c r="O879" s="49">
        <v>62135</v>
      </c>
    </row>
    <row r="880" spans="15:15" x14ac:dyDescent="0.25">
      <c r="O880" s="49">
        <v>62180</v>
      </c>
    </row>
    <row r="881" spans="15:15" x14ac:dyDescent="0.25">
      <c r="O881" s="49">
        <v>62204</v>
      </c>
    </row>
    <row r="882" spans="15:15" x14ac:dyDescent="0.25">
      <c r="O882" s="49">
        <v>62214</v>
      </c>
    </row>
    <row r="883" spans="15:15" x14ac:dyDescent="0.25">
      <c r="O883" s="49">
        <v>62242</v>
      </c>
    </row>
    <row r="884" spans="15:15" x14ac:dyDescent="0.25">
      <c r="O884" s="49">
        <v>62343</v>
      </c>
    </row>
    <row r="885" spans="15:15" x14ac:dyDescent="0.25">
      <c r="O885" s="49">
        <v>62378</v>
      </c>
    </row>
    <row r="886" spans="15:15" x14ac:dyDescent="0.25">
      <c r="O886" s="49">
        <v>62399</v>
      </c>
    </row>
    <row r="887" spans="15:15" x14ac:dyDescent="0.25">
      <c r="O887" s="49">
        <v>62412</v>
      </c>
    </row>
    <row r="888" spans="15:15" x14ac:dyDescent="0.25">
      <c r="O888" s="49">
        <v>62417</v>
      </c>
    </row>
    <row r="889" spans="15:15" x14ac:dyDescent="0.25">
      <c r="O889" s="49">
        <v>62452</v>
      </c>
    </row>
    <row r="890" spans="15:15" x14ac:dyDescent="0.25">
      <c r="O890" s="49">
        <v>62459</v>
      </c>
    </row>
    <row r="891" spans="15:15" x14ac:dyDescent="0.25">
      <c r="O891" s="49">
        <v>62519</v>
      </c>
    </row>
    <row r="892" spans="15:15" x14ac:dyDescent="0.25">
      <c r="O892" s="49">
        <v>62520</v>
      </c>
    </row>
    <row r="893" spans="15:15" x14ac:dyDescent="0.25">
      <c r="O893" s="49">
        <v>62565</v>
      </c>
    </row>
    <row r="894" spans="15:15" x14ac:dyDescent="0.25">
      <c r="O894" s="49">
        <v>62569</v>
      </c>
    </row>
    <row r="895" spans="15:15" x14ac:dyDescent="0.25">
      <c r="O895" s="49">
        <v>62579</v>
      </c>
    </row>
    <row r="896" spans="15:15" x14ac:dyDescent="0.25">
      <c r="O896" s="49">
        <v>62627</v>
      </c>
    </row>
    <row r="897" spans="15:15" x14ac:dyDescent="0.25">
      <c r="O897" s="49">
        <v>62708</v>
      </c>
    </row>
    <row r="898" spans="15:15" x14ac:dyDescent="0.25">
      <c r="O898" s="49">
        <v>62743</v>
      </c>
    </row>
    <row r="899" spans="15:15" x14ac:dyDescent="0.25">
      <c r="O899" s="49">
        <v>62764</v>
      </c>
    </row>
    <row r="900" spans="15:15" x14ac:dyDescent="0.25">
      <c r="O900" s="49">
        <v>62777</v>
      </c>
    </row>
    <row r="901" spans="15:15" x14ac:dyDescent="0.25">
      <c r="O901" s="49">
        <v>62782</v>
      </c>
    </row>
    <row r="902" spans="15:15" x14ac:dyDescent="0.25">
      <c r="O902" s="49">
        <v>62817</v>
      </c>
    </row>
    <row r="903" spans="15:15" x14ac:dyDescent="0.25">
      <c r="O903" s="49">
        <v>62824</v>
      </c>
    </row>
    <row r="904" spans="15:15" x14ac:dyDescent="0.25">
      <c r="O904" s="49">
        <v>62876</v>
      </c>
    </row>
    <row r="905" spans="15:15" x14ac:dyDescent="0.25">
      <c r="O905" s="49">
        <v>62877</v>
      </c>
    </row>
    <row r="906" spans="15:15" x14ac:dyDescent="0.25">
      <c r="O906" s="49">
        <v>62922</v>
      </c>
    </row>
    <row r="907" spans="15:15" x14ac:dyDescent="0.25">
      <c r="O907" s="49">
        <v>62935</v>
      </c>
    </row>
    <row r="908" spans="15:15" x14ac:dyDescent="0.25">
      <c r="O908" s="49">
        <v>62945</v>
      </c>
    </row>
    <row r="909" spans="15:15" x14ac:dyDescent="0.25">
      <c r="O909" s="49">
        <v>62984</v>
      </c>
    </row>
    <row r="910" spans="15:15" x14ac:dyDescent="0.25">
      <c r="O910" s="49">
        <v>63074</v>
      </c>
    </row>
    <row r="911" spans="15:15" x14ac:dyDescent="0.25">
      <c r="O911" s="49">
        <v>63109</v>
      </c>
    </row>
    <row r="912" spans="15:15" x14ac:dyDescent="0.25">
      <c r="O912" s="49">
        <v>63130</v>
      </c>
    </row>
    <row r="913" spans="15:15" x14ac:dyDescent="0.25">
      <c r="O913" s="49">
        <v>63143</v>
      </c>
    </row>
    <row r="914" spans="15:15" x14ac:dyDescent="0.25">
      <c r="O914" s="49">
        <v>63148</v>
      </c>
    </row>
    <row r="915" spans="15:15" x14ac:dyDescent="0.25">
      <c r="O915" s="49">
        <v>63183</v>
      </c>
    </row>
    <row r="916" spans="15:15" x14ac:dyDescent="0.25">
      <c r="O916" s="49">
        <v>63190</v>
      </c>
    </row>
    <row r="917" spans="15:15" x14ac:dyDescent="0.25">
      <c r="O917" s="49">
        <v>63226</v>
      </c>
    </row>
    <row r="918" spans="15:15" x14ac:dyDescent="0.25">
      <c r="O918" s="49">
        <v>63227</v>
      </c>
    </row>
    <row r="919" spans="15:15" x14ac:dyDescent="0.25">
      <c r="O919" s="49">
        <v>63272</v>
      </c>
    </row>
    <row r="920" spans="15:15" x14ac:dyDescent="0.25">
      <c r="O920" s="49">
        <v>63300</v>
      </c>
    </row>
    <row r="921" spans="15:15" x14ac:dyDescent="0.25">
      <c r="O921" s="49">
        <v>63310</v>
      </c>
    </row>
    <row r="922" spans="15:15" x14ac:dyDescent="0.25">
      <c r="O922" s="49">
        <v>63334</v>
      </c>
    </row>
    <row r="923" spans="15:15" x14ac:dyDescent="0.25">
      <c r="O923" s="49">
        <v>63439</v>
      </c>
    </row>
    <row r="924" spans="15:15" x14ac:dyDescent="0.25">
      <c r="O924" s="49">
        <v>63474</v>
      </c>
    </row>
    <row r="925" spans="15:15" x14ac:dyDescent="0.25">
      <c r="O925" s="49">
        <v>63495</v>
      </c>
    </row>
    <row r="926" spans="15:15" x14ac:dyDescent="0.25">
      <c r="O926" s="49">
        <v>63508</v>
      </c>
    </row>
    <row r="927" spans="15:15" x14ac:dyDescent="0.25">
      <c r="O927" s="49">
        <v>63513</v>
      </c>
    </row>
    <row r="928" spans="15:15" x14ac:dyDescent="0.25">
      <c r="O928" s="49">
        <v>63548</v>
      </c>
    </row>
    <row r="929" spans="15:15" x14ac:dyDescent="0.25">
      <c r="O929" s="49">
        <v>63555</v>
      </c>
    </row>
    <row r="930" spans="15:15" x14ac:dyDescent="0.25">
      <c r="O930" s="49">
        <v>63611</v>
      </c>
    </row>
    <row r="931" spans="15:15" x14ac:dyDescent="0.25">
      <c r="O931" s="49">
        <v>63612</v>
      </c>
    </row>
    <row r="932" spans="15:15" x14ac:dyDescent="0.25">
      <c r="O932" s="49">
        <v>63657</v>
      </c>
    </row>
    <row r="933" spans="15:15" x14ac:dyDescent="0.25">
      <c r="O933" s="49">
        <v>63665</v>
      </c>
    </row>
    <row r="934" spans="15:15" x14ac:dyDescent="0.25">
      <c r="O934" s="49">
        <v>63675</v>
      </c>
    </row>
    <row r="935" spans="15:15" x14ac:dyDescent="0.25">
      <c r="O935" s="49">
        <v>63719</v>
      </c>
    </row>
    <row r="936" spans="15:15" x14ac:dyDescent="0.25">
      <c r="O936" s="49">
        <v>63804</v>
      </c>
    </row>
    <row r="937" spans="15:15" x14ac:dyDescent="0.25">
      <c r="O937" s="49">
        <v>63839</v>
      </c>
    </row>
    <row r="938" spans="15:15" x14ac:dyDescent="0.25">
      <c r="O938" s="49">
        <v>63860</v>
      </c>
    </row>
    <row r="939" spans="15:15" x14ac:dyDescent="0.25">
      <c r="O939" s="49">
        <v>63873</v>
      </c>
    </row>
    <row r="940" spans="15:15" x14ac:dyDescent="0.25">
      <c r="O940" s="49">
        <v>63878</v>
      </c>
    </row>
    <row r="941" spans="15:15" x14ac:dyDescent="0.25">
      <c r="O941" s="49">
        <v>63913</v>
      </c>
    </row>
    <row r="942" spans="15:15" x14ac:dyDescent="0.25">
      <c r="O942" s="49">
        <v>63920</v>
      </c>
    </row>
    <row r="943" spans="15:15" x14ac:dyDescent="0.25">
      <c r="O943" s="49">
        <v>63968</v>
      </c>
    </row>
    <row r="944" spans="15:15" x14ac:dyDescent="0.25">
      <c r="O944" s="49">
        <v>63969</v>
      </c>
    </row>
    <row r="945" spans="15:15" x14ac:dyDescent="0.25">
      <c r="O945" s="49">
        <v>64014</v>
      </c>
    </row>
    <row r="946" spans="15:15" x14ac:dyDescent="0.25">
      <c r="O946" s="49">
        <v>64030</v>
      </c>
    </row>
    <row r="947" spans="15:15" x14ac:dyDescent="0.25">
      <c r="O947" s="49">
        <v>64040</v>
      </c>
    </row>
    <row r="948" spans="15:15" x14ac:dyDescent="0.25">
      <c r="O948" s="49">
        <v>64076</v>
      </c>
    </row>
    <row r="949" spans="15:15" x14ac:dyDescent="0.25">
      <c r="O949" s="49">
        <v>64169</v>
      </c>
    </row>
    <row r="950" spans="15:15" x14ac:dyDescent="0.25">
      <c r="O950" s="49">
        <v>64204</v>
      </c>
    </row>
    <row r="951" spans="15:15" x14ac:dyDescent="0.25">
      <c r="O951" s="49">
        <v>64225</v>
      </c>
    </row>
    <row r="952" spans="15:15" x14ac:dyDescent="0.25">
      <c r="O952" s="49">
        <v>64238</v>
      </c>
    </row>
    <row r="953" spans="15:15" x14ac:dyDescent="0.25">
      <c r="O953" s="49">
        <v>64243</v>
      </c>
    </row>
    <row r="954" spans="15:15" x14ac:dyDescent="0.25">
      <c r="O954" s="49">
        <v>64278</v>
      </c>
    </row>
    <row r="955" spans="15:15" x14ac:dyDescent="0.25">
      <c r="O955" s="49">
        <v>64285</v>
      </c>
    </row>
    <row r="956" spans="15:15" x14ac:dyDescent="0.25">
      <c r="O956" s="49">
        <v>64346</v>
      </c>
    </row>
    <row r="957" spans="15:15" x14ac:dyDescent="0.25">
      <c r="O957" s="49">
        <v>64347</v>
      </c>
    </row>
    <row r="958" spans="15:15" x14ac:dyDescent="0.25">
      <c r="O958" s="49">
        <v>64392</v>
      </c>
    </row>
    <row r="959" spans="15:15" x14ac:dyDescent="0.25">
      <c r="O959" s="49">
        <v>64396</v>
      </c>
    </row>
    <row r="960" spans="15:15" x14ac:dyDescent="0.25">
      <c r="O960" s="49">
        <v>64406</v>
      </c>
    </row>
    <row r="961" spans="15:15" x14ac:dyDescent="0.25">
      <c r="O961" s="49">
        <v>64454</v>
      </c>
    </row>
    <row r="962" spans="15:15" x14ac:dyDescent="0.25">
      <c r="O962" s="49">
        <v>64535</v>
      </c>
    </row>
    <row r="963" spans="15:15" x14ac:dyDescent="0.25">
      <c r="O963" s="49">
        <v>64570</v>
      </c>
    </row>
    <row r="964" spans="15:15" x14ac:dyDescent="0.25">
      <c r="O964" s="49">
        <v>64591</v>
      </c>
    </row>
    <row r="965" spans="15:15" x14ac:dyDescent="0.25">
      <c r="O965" s="49">
        <v>64604</v>
      </c>
    </row>
    <row r="966" spans="15:15" x14ac:dyDescent="0.25">
      <c r="O966" s="49">
        <v>64609</v>
      </c>
    </row>
    <row r="967" spans="15:15" x14ac:dyDescent="0.25">
      <c r="O967" s="49">
        <v>64644</v>
      </c>
    </row>
    <row r="968" spans="15:15" x14ac:dyDescent="0.25">
      <c r="O968" s="49">
        <v>64651</v>
      </c>
    </row>
    <row r="969" spans="15:15" x14ac:dyDescent="0.25">
      <c r="O969" s="49">
        <v>64703</v>
      </c>
    </row>
    <row r="970" spans="15:15" x14ac:dyDescent="0.25">
      <c r="O970" s="49">
        <v>64704</v>
      </c>
    </row>
    <row r="971" spans="15:15" x14ac:dyDescent="0.25">
      <c r="O971" s="49">
        <v>64749</v>
      </c>
    </row>
    <row r="972" spans="15:15" x14ac:dyDescent="0.25">
      <c r="O972" s="49">
        <v>64761</v>
      </c>
    </row>
    <row r="973" spans="15:15" x14ac:dyDescent="0.25">
      <c r="O973" s="49">
        <v>64771</v>
      </c>
    </row>
    <row r="974" spans="15:15" x14ac:dyDescent="0.25">
      <c r="O974" s="49">
        <v>64811</v>
      </c>
    </row>
    <row r="975" spans="15:15" x14ac:dyDescent="0.25">
      <c r="O975" s="49">
        <v>64900</v>
      </c>
    </row>
    <row r="976" spans="15:15" x14ac:dyDescent="0.25">
      <c r="O976" s="49">
        <v>64935</v>
      </c>
    </row>
    <row r="977" spans="15:15" x14ac:dyDescent="0.25">
      <c r="O977" s="49">
        <v>64956</v>
      </c>
    </row>
    <row r="978" spans="15:15" x14ac:dyDescent="0.25">
      <c r="O978" s="49">
        <v>64969</v>
      </c>
    </row>
    <row r="979" spans="15:15" x14ac:dyDescent="0.25">
      <c r="O979" s="49">
        <v>64974</v>
      </c>
    </row>
    <row r="980" spans="15:15" x14ac:dyDescent="0.25">
      <c r="O980" s="49">
        <v>65009</v>
      </c>
    </row>
    <row r="981" spans="15:15" x14ac:dyDescent="0.25">
      <c r="O981" s="49">
        <v>65016</v>
      </c>
    </row>
    <row r="982" spans="15:15" x14ac:dyDescent="0.25">
      <c r="O982" s="49">
        <v>65060</v>
      </c>
    </row>
    <row r="983" spans="15:15" x14ac:dyDescent="0.25">
      <c r="O983" s="49">
        <v>65061</v>
      </c>
    </row>
    <row r="984" spans="15:15" x14ac:dyDescent="0.25">
      <c r="O984" s="49">
        <v>65106</v>
      </c>
    </row>
    <row r="985" spans="15:15" x14ac:dyDescent="0.25">
      <c r="O985" s="49">
        <v>65126</v>
      </c>
    </row>
    <row r="986" spans="15:15" x14ac:dyDescent="0.25">
      <c r="O986" s="49">
        <v>65136</v>
      </c>
    </row>
    <row r="987" spans="15:15" x14ac:dyDescent="0.25">
      <c r="O987" s="49">
        <v>65168</v>
      </c>
    </row>
    <row r="988" spans="15:15" x14ac:dyDescent="0.25">
      <c r="O988" s="49">
        <v>65265</v>
      </c>
    </row>
    <row r="989" spans="15:15" x14ac:dyDescent="0.25">
      <c r="O989" s="49">
        <v>65300</v>
      </c>
    </row>
    <row r="990" spans="15:15" x14ac:dyDescent="0.25">
      <c r="O990" s="49">
        <v>65321</v>
      </c>
    </row>
    <row r="991" spans="15:15" x14ac:dyDescent="0.25">
      <c r="O991" s="49">
        <v>65334</v>
      </c>
    </row>
    <row r="992" spans="15:15" x14ac:dyDescent="0.25">
      <c r="O992" s="49">
        <v>65339</v>
      </c>
    </row>
    <row r="993" spans="15:15" x14ac:dyDescent="0.25">
      <c r="O993" s="49">
        <v>65374</v>
      </c>
    </row>
    <row r="994" spans="15:15" x14ac:dyDescent="0.25">
      <c r="O994" s="49">
        <v>65381</v>
      </c>
    </row>
    <row r="995" spans="15:15" x14ac:dyDescent="0.25">
      <c r="O995" s="49">
        <v>65445</v>
      </c>
    </row>
    <row r="996" spans="15:15" x14ac:dyDescent="0.25">
      <c r="O996" s="49">
        <v>65446</v>
      </c>
    </row>
    <row r="997" spans="15:15" x14ac:dyDescent="0.25">
      <c r="O997" s="49">
        <v>65491</v>
      </c>
    </row>
    <row r="998" spans="15:15" x14ac:dyDescent="0.25">
      <c r="O998" s="49">
        <v>65491</v>
      </c>
    </row>
    <row r="999" spans="15:15" x14ac:dyDescent="0.25">
      <c r="O999" s="49">
        <v>65501</v>
      </c>
    </row>
    <row r="1000" spans="15:15" x14ac:dyDescent="0.25">
      <c r="O1000" s="49">
        <v>65553</v>
      </c>
    </row>
    <row r="1001" spans="15:15" x14ac:dyDescent="0.25">
      <c r="O1001" s="49">
        <v>65630</v>
      </c>
    </row>
    <row r="1002" spans="15:15" x14ac:dyDescent="0.25">
      <c r="O1002" s="49">
        <v>65665</v>
      </c>
    </row>
    <row r="1003" spans="15:15" x14ac:dyDescent="0.25">
      <c r="O1003" s="49">
        <v>65686</v>
      </c>
    </row>
    <row r="1004" spans="15:15" x14ac:dyDescent="0.25">
      <c r="O1004" s="49">
        <v>65699</v>
      </c>
    </row>
    <row r="1005" spans="15:15" x14ac:dyDescent="0.25">
      <c r="O1005" s="49">
        <v>65704</v>
      </c>
    </row>
    <row r="1006" spans="15:15" x14ac:dyDescent="0.25">
      <c r="O1006" s="49">
        <v>65739</v>
      </c>
    </row>
    <row r="1007" spans="15:15" x14ac:dyDescent="0.25">
      <c r="O1007" s="49">
        <v>65746</v>
      </c>
    </row>
    <row r="1008" spans="15:15" x14ac:dyDescent="0.25">
      <c r="O1008" s="49">
        <v>65795</v>
      </c>
    </row>
    <row r="1009" spans="15:15" x14ac:dyDescent="0.25">
      <c r="O1009" s="49">
        <v>65796</v>
      </c>
    </row>
    <row r="1010" spans="15:15" x14ac:dyDescent="0.25">
      <c r="O1010" s="49">
        <v>65841</v>
      </c>
    </row>
    <row r="1011" spans="15:15" x14ac:dyDescent="0.25">
      <c r="O1011" s="49">
        <v>65857</v>
      </c>
    </row>
    <row r="1012" spans="15:15" x14ac:dyDescent="0.25">
      <c r="O1012" s="49">
        <v>65867</v>
      </c>
    </row>
    <row r="1013" spans="15:15" x14ac:dyDescent="0.25">
      <c r="O1013" s="49">
        <v>65903</v>
      </c>
    </row>
    <row r="1014" spans="15:15" x14ac:dyDescent="0.25">
      <c r="O1014" s="49">
        <v>65996</v>
      </c>
    </row>
    <row r="1015" spans="15:15" x14ac:dyDescent="0.25">
      <c r="O1015" s="49">
        <v>66031</v>
      </c>
    </row>
    <row r="1016" spans="15:15" x14ac:dyDescent="0.25">
      <c r="O1016" s="49">
        <v>66052</v>
      </c>
    </row>
    <row r="1017" spans="15:15" x14ac:dyDescent="0.25">
      <c r="O1017" s="49">
        <v>66065</v>
      </c>
    </row>
    <row r="1018" spans="15:15" x14ac:dyDescent="0.25">
      <c r="O1018" s="49">
        <v>66070</v>
      </c>
    </row>
    <row r="1019" spans="15:15" x14ac:dyDescent="0.25">
      <c r="O1019" s="49">
        <v>66105</v>
      </c>
    </row>
    <row r="1020" spans="15:15" x14ac:dyDescent="0.25">
      <c r="O1020" s="49">
        <v>66112</v>
      </c>
    </row>
    <row r="1021" spans="15:15" x14ac:dyDescent="0.25">
      <c r="O1021" s="49">
        <v>66152</v>
      </c>
    </row>
    <row r="1022" spans="15:15" x14ac:dyDescent="0.25">
      <c r="O1022" s="49">
        <v>66153</v>
      </c>
    </row>
    <row r="1023" spans="15:15" x14ac:dyDescent="0.25">
      <c r="O1023" s="49">
        <v>66198</v>
      </c>
    </row>
    <row r="1024" spans="15:15" x14ac:dyDescent="0.25">
      <c r="O1024" s="49">
        <v>66222</v>
      </c>
    </row>
    <row r="1025" spans="15:15" x14ac:dyDescent="0.25">
      <c r="O1025" s="49">
        <v>66232</v>
      </c>
    </row>
    <row r="1026" spans="15:15" x14ac:dyDescent="0.25">
      <c r="O1026" s="49">
        <v>66260</v>
      </c>
    </row>
    <row r="1027" spans="15:15" x14ac:dyDescent="0.25">
      <c r="O1027" s="49">
        <v>66361</v>
      </c>
    </row>
    <row r="1028" spans="15:15" x14ac:dyDescent="0.25">
      <c r="O1028" s="49">
        <v>66396</v>
      </c>
    </row>
    <row r="1029" spans="15:15" x14ac:dyDescent="0.25">
      <c r="O1029" s="49">
        <v>66417</v>
      </c>
    </row>
    <row r="1030" spans="15:15" x14ac:dyDescent="0.25">
      <c r="O1030" s="49">
        <v>66430</v>
      </c>
    </row>
    <row r="1031" spans="15:15" x14ac:dyDescent="0.25">
      <c r="O1031" s="49">
        <v>66435</v>
      </c>
    </row>
    <row r="1032" spans="15:15" x14ac:dyDescent="0.25">
      <c r="O1032" s="49">
        <v>66470</v>
      </c>
    </row>
    <row r="1033" spans="15:15" x14ac:dyDescent="0.25">
      <c r="O1033" s="49">
        <v>66477</v>
      </c>
    </row>
    <row r="1034" spans="15:15" x14ac:dyDescent="0.25">
      <c r="O1034" s="49">
        <v>66537</v>
      </c>
    </row>
    <row r="1035" spans="15:15" x14ac:dyDescent="0.25">
      <c r="O1035" s="49">
        <v>66538</v>
      </c>
    </row>
    <row r="1036" spans="15:15" x14ac:dyDescent="0.25">
      <c r="O1036" s="49">
        <v>66583</v>
      </c>
    </row>
    <row r="1037" spans="15:15" x14ac:dyDescent="0.25">
      <c r="O1037" s="49">
        <v>66587</v>
      </c>
    </row>
    <row r="1038" spans="15:15" x14ac:dyDescent="0.25">
      <c r="O1038" s="49">
        <v>66597</v>
      </c>
    </row>
    <row r="1039" spans="15:15" x14ac:dyDescent="0.25">
      <c r="O1039" s="49">
        <v>66645</v>
      </c>
    </row>
    <row r="1040" spans="15:15" x14ac:dyDescent="0.25">
      <c r="O1040" s="49">
        <v>66726</v>
      </c>
    </row>
    <row r="1041" spans="15:15" x14ac:dyDescent="0.25">
      <c r="O1041" s="49">
        <v>66761</v>
      </c>
    </row>
    <row r="1042" spans="15:15" x14ac:dyDescent="0.25">
      <c r="O1042" s="49">
        <v>66782</v>
      </c>
    </row>
    <row r="1043" spans="15:15" x14ac:dyDescent="0.25">
      <c r="O1043" s="49">
        <v>66795</v>
      </c>
    </row>
    <row r="1044" spans="15:15" x14ac:dyDescent="0.25">
      <c r="O1044" s="49">
        <v>66800</v>
      </c>
    </row>
    <row r="1045" spans="15:15" x14ac:dyDescent="0.25">
      <c r="O1045" s="49">
        <v>66835</v>
      </c>
    </row>
    <row r="1046" spans="15:15" x14ac:dyDescent="0.25">
      <c r="O1046" s="49">
        <v>66842</v>
      </c>
    </row>
    <row r="1047" spans="15:15" x14ac:dyDescent="0.25">
      <c r="O1047" s="49">
        <v>66887</v>
      </c>
    </row>
    <row r="1048" spans="15:15" x14ac:dyDescent="0.25">
      <c r="O1048" s="49">
        <v>66888</v>
      </c>
    </row>
    <row r="1049" spans="15:15" x14ac:dyDescent="0.25">
      <c r="O1049" s="49">
        <v>66933</v>
      </c>
    </row>
    <row r="1050" spans="15:15" x14ac:dyDescent="0.25">
      <c r="O1050" s="49">
        <v>66952</v>
      </c>
    </row>
    <row r="1051" spans="15:15" x14ac:dyDescent="0.25">
      <c r="O1051" s="49">
        <v>66962</v>
      </c>
    </row>
    <row r="1052" spans="15:15" x14ac:dyDescent="0.25">
      <c r="O1052" s="49">
        <v>66995</v>
      </c>
    </row>
    <row r="1053" spans="15:15" x14ac:dyDescent="0.25">
      <c r="O1053" s="49">
        <v>67091</v>
      </c>
    </row>
    <row r="1054" spans="15:15" x14ac:dyDescent="0.25">
      <c r="O1054" s="49">
        <v>67126</v>
      </c>
    </row>
    <row r="1055" spans="15:15" x14ac:dyDescent="0.25">
      <c r="O1055" s="49">
        <v>67147</v>
      </c>
    </row>
    <row r="1056" spans="15:15" x14ac:dyDescent="0.25">
      <c r="O1056" s="49">
        <v>67160</v>
      </c>
    </row>
    <row r="1057" spans="15:15" x14ac:dyDescent="0.25">
      <c r="O1057" s="49">
        <v>67165</v>
      </c>
    </row>
    <row r="1058" spans="15:15" x14ac:dyDescent="0.25">
      <c r="O1058" s="49">
        <v>67200</v>
      </c>
    </row>
    <row r="1059" spans="15:15" x14ac:dyDescent="0.25">
      <c r="O1059" s="49">
        <v>67207</v>
      </c>
    </row>
    <row r="1060" spans="15:15" x14ac:dyDescent="0.25">
      <c r="O1060" s="49">
        <v>67244</v>
      </c>
    </row>
    <row r="1061" spans="15:15" x14ac:dyDescent="0.25">
      <c r="O1061" s="49">
        <v>67245</v>
      </c>
    </row>
    <row r="1062" spans="15:15" x14ac:dyDescent="0.25">
      <c r="O1062" s="49">
        <v>67290</v>
      </c>
    </row>
    <row r="1063" spans="15:15" x14ac:dyDescent="0.25">
      <c r="O1063" s="49">
        <v>67318</v>
      </c>
    </row>
    <row r="1064" spans="15:15" x14ac:dyDescent="0.25">
      <c r="O1064" s="49">
        <v>67328</v>
      </c>
    </row>
    <row r="1065" spans="15:15" x14ac:dyDescent="0.25">
      <c r="O1065" s="49">
        <v>67352</v>
      </c>
    </row>
    <row r="1066" spans="15:15" x14ac:dyDescent="0.25">
      <c r="O1066" s="49">
        <v>67457</v>
      </c>
    </row>
    <row r="1067" spans="15:15" x14ac:dyDescent="0.25">
      <c r="O1067" s="49">
        <v>67492</v>
      </c>
    </row>
    <row r="1068" spans="15:15" x14ac:dyDescent="0.25">
      <c r="O1068" s="49">
        <v>67513</v>
      </c>
    </row>
    <row r="1069" spans="15:15" x14ac:dyDescent="0.25">
      <c r="O1069" s="49">
        <v>67526</v>
      </c>
    </row>
    <row r="1070" spans="15:15" x14ac:dyDescent="0.25">
      <c r="O1070" s="49">
        <v>67531</v>
      </c>
    </row>
    <row r="1071" spans="15:15" x14ac:dyDescent="0.25">
      <c r="O1071" s="49">
        <v>67566</v>
      </c>
    </row>
    <row r="1072" spans="15:15" x14ac:dyDescent="0.25">
      <c r="O1072" s="49">
        <v>67573</v>
      </c>
    </row>
    <row r="1073" spans="15:15" x14ac:dyDescent="0.25">
      <c r="O1073" s="49">
        <v>67629</v>
      </c>
    </row>
    <row r="1074" spans="15:15" x14ac:dyDescent="0.25">
      <c r="O1074" s="49">
        <v>67630</v>
      </c>
    </row>
    <row r="1075" spans="15:15" x14ac:dyDescent="0.25">
      <c r="O1075" s="49">
        <v>67675</v>
      </c>
    </row>
    <row r="1076" spans="15:15" x14ac:dyDescent="0.25">
      <c r="O1076" s="49">
        <v>67683</v>
      </c>
    </row>
    <row r="1077" spans="15:15" x14ac:dyDescent="0.25">
      <c r="O1077" s="49">
        <v>67693</v>
      </c>
    </row>
    <row r="1078" spans="15:15" x14ac:dyDescent="0.25">
      <c r="O1078" s="49">
        <v>67737</v>
      </c>
    </row>
    <row r="1079" spans="15:15" x14ac:dyDescent="0.25">
      <c r="O1079" s="49">
        <v>67822</v>
      </c>
    </row>
    <row r="1080" spans="15:15" x14ac:dyDescent="0.25">
      <c r="O1080" s="49">
        <v>67857</v>
      </c>
    </row>
    <row r="1081" spans="15:15" x14ac:dyDescent="0.25">
      <c r="O1081" s="49">
        <v>67878</v>
      </c>
    </row>
    <row r="1082" spans="15:15" x14ac:dyDescent="0.25">
      <c r="O1082" s="49">
        <v>67891</v>
      </c>
    </row>
    <row r="1083" spans="15:15" x14ac:dyDescent="0.25">
      <c r="O1083" s="49">
        <v>67896</v>
      </c>
    </row>
    <row r="1084" spans="15:15" x14ac:dyDescent="0.25">
      <c r="O1084" s="49">
        <v>67931</v>
      </c>
    </row>
    <row r="1085" spans="15:15" x14ac:dyDescent="0.25">
      <c r="O1085" s="49">
        <v>67938</v>
      </c>
    </row>
    <row r="1086" spans="15:15" x14ac:dyDescent="0.25">
      <c r="O1086" s="49">
        <v>67979</v>
      </c>
    </row>
    <row r="1087" spans="15:15" x14ac:dyDescent="0.25">
      <c r="O1087" s="49">
        <v>67980</v>
      </c>
    </row>
    <row r="1088" spans="15:15" x14ac:dyDescent="0.25">
      <c r="O1088" s="49">
        <v>68025</v>
      </c>
    </row>
    <row r="1089" spans="15:15" x14ac:dyDescent="0.25">
      <c r="O1089" s="49">
        <v>68048</v>
      </c>
    </row>
    <row r="1090" spans="15:15" x14ac:dyDescent="0.25">
      <c r="O1090" s="49">
        <v>68058</v>
      </c>
    </row>
    <row r="1091" spans="15:15" x14ac:dyDescent="0.25">
      <c r="O1091" s="49">
        <v>68087</v>
      </c>
    </row>
    <row r="1092" spans="15:15" x14ac:dyDescent="0.25">
      <c r="O1092" s="49">
        <v>68187</v>
      </c>
    </row>
    <row r="1093" spans="15:15" x14ac:dyDescent="0.25">
      <c r="O1093" s="49">
        <v>68222</v>
      </c>
    </row>
    <row r="1094" spans="15:15" x14ac:dyDescent="0.25">
      <c r="O1094" s="49">
        <v>68243</v>
      </c>
    </row>
    <row r="1095" spans="15:15" x14ac:dyDescent="0.25">
      <c r="O1095" s="49">
        <v>68256</v>
      </c>
    </row>
    <row r="1096" spans="15:15" x14ac:dyDescent="0.25">
      <c r="O1096" s="49">
        <v>68261</v>
      </c>
    </row>
    <row r="1097" spans="15:15" x14ac:dyDescent="0.25">
      <c r="O1097" s="49">
        <v>68296</v>
      </c>
    </row>
    <row r="1098" spans="15:15" x14ac:dyDescent="0.25">
      <c r="O1098" s="49">
        <v>68303</v>
      </c>
    </row>
    <row r="1099" spans="15:15" x14ac:dyDescent="0.25">
      <c r="O1099" s="49">
        <v>68364</v>
      </c>
    </row>
    <row r="1100" spans="15:15" x14ac:dyDescent="0.25">
      <c r="O1100" s="49">
        <v>68365</v>
      </c>
    </row>
    <row r="1101" spans="15:15" x14ac:dyDescent="0.25">
      <c r="O1101" s="49">
        <v>68410</v>
      </c>
    </row>
    <row r="1102" spans="15:15" x14ac:dyDescent="0.25">
      <c r="O1102" s="49">
        <v>68413</v>
      </c>
    </row>
    <row r="1103" spans="15:15" x14ac:dyDescent="0.25">
      <c r="O1103" s="49">
        <v>68423</v>
      </c>
    </row>
    <row r="1104" spans="15:15" x14ac:dyDescent="0.25">
      <c r="O1104" s="49">
        <v>68472</v>
      </c>
    </row>
    <row r="1105" spans="15:15" x14ac:dyDescent="0.25">
      <c r="O1105" s="49">
        <v>68552</v>
      </c>
    </row>
    <row r="1106" spans="15:15" x14ac:dyDescent="0.25">
      <c r="O1106" s="49">
        <v>68587</v>
      </c>
    </row>
    <row r="1107" spans="15:15" x14ac:dyDescent="0.25">
      <c r="O1107" s="49">
        <v>68608</v>
      </c>
    </row>
    <row r="1108" spans="15:15" x14ac:dyDescent="0.25">
      <c r="O1108" s="49">
        <v>68621</v>
      </c>
    </row>
    <row r="1109" spans="15:15" x14ac:dyDescent="0.25">
      <c r="O1109" s="49">
        <v>68626</v>
      </c>
    </row>
    <row r="1110" spans="15:15" x14ac:dyDescent="0.25">
      <c r="O1110" s="49">
        <v>68661</v>
      </c>
    </row>
    <row r="1111" spans="15:15" x14ac:dyDescent="0.25">
      <c r="O1111" s="49">
        <v>68668</v>
      </c>
    </row>
    <row r="1112" spans="15:15" x14ac:dyDescent="0.25">
      <c r="O1112" s="49">
        <v>68721</v>
      </c>
    </row>
    <row r="1113" spans="15:15" x14ac:dyDescent="0.25">
      <c r="O1113" s="49">
        <v>68722</v>
      </c>
    </row>
    <row r="1114" spans="15:15" x14ac:dyDescent="0.25">
      <c r="O1114" s="49">
        <v>68767</v>
      </c>
    </row>
    <row r="1115" spans="15:15" x14ac:dyDescent="0.25">
      <c r="O1115" s="49">
        <v>68779</v>
      </c>
    </row>
    <row r="1116" spans="15:15" x14ac:dyDescent="0.25">
      <c r="O1116" s="49">
        <v>68789</v>
      </c>
    </row>
    <row r="1117" spans="15:15" x14ac:dyDescent="0.25">
      <c r="O1117" s="49">
        <v>68829</v>
      </c>
    </row>
    <row r="1118" spans="15:15" x14ac:dyDescent="0.25">
      <c r="O1118" s="49">
        <v>68918</v>
      </c>
    </row>
    <row r="1119" spans="15:15" x14ac:dyDescent="0.25">
      <c r="O1119" s="49">
        <v>68953</v>
      </c>
    </row>
    <row r="1120" spans="15:15" x14ac:dyDescent="0.25">
      <c r="O1120" s="49">
        <v>68974</v>
      </c>
    </row>
    <row r="1121" spans="15:15" x14ac:dyDescent="0.25">
      <c r="O1121" s="49">
        <v>68987</v>
      </c>
    </row>
    <row r="1122" spans="15:15" x14ac:dyDescent="0.25">
      <c r="O1122" s="49">
        <v>68992</v>
      </c>
    </row>
    <row r="1123" spans="15:15" x14ac:dyDescent="0.25">
      <c r="O1123" s="49">
        <v>69027</v>
      </c>
    </row>
    <row r="1124" spans="15:15" x14ac:dyDescent="0.25">
      <c r="O1124" s="49">
        <v>69034</v>
      </c>
    </row>
    <row r="1125" spans="15:15" x14ac:dyDescent="0.25">
      <c r="O1125" s="49">
        <v>69078</v>
      </c>
    </row>
    <row r="1126" spans="15:15" x14ac:dyDescent="0.25">
      <c r="O1126" s="49">
        <v>69079</v>
      </c>
    </row>
    <row r="1127" spans="15:15" x14ac:dyDescent="0.25">
      <c r="O1127" s="49">
        <v>69124</v>
      </c>
    </row>
    <row r="1128" spans="15:15" x14ac:dyDescent="0.25">
      <c r="O1128" s="49">
        <v>69144</v>
      </c>
    </row>
    <row r="1129" spans="15:15" x14ac:dyDescent="0.25">
      <c r="O1129" s="49">
        <v>69154</v>
      </c>
    </row>
    <row r="1130" spans="15:15" x14ac:dyDescent="0.25">
      <c r="O1130" s="49">
        <v>69186</v>
      </c>
    </row>
    <row r="1131" spans="15:15" x14ac:dyDescent="0.25">
      <c r="O1131" s="49">
        <v>69283</v>
      </c>
    </row>
    <row r="1132" spans="15:15" x14ac:dyDescent="0.25">
      <c r="O1132" s="49">
        <v>69318</v>
      </c>
    </row>
    <row r="1133" spans="15:15" x14ac:dyDescent="0.25">
      <c r="O1133" s="49">
        <v>69339</v>
      </c>
    </row>
    <row r="1134" spans="15:15" x14ac:dyDescent="0.25">
      <c r="O1134" s="49">
        <v>69352</v>
      </c>
    </row>
    <row r="1135" spans="15:15" x14ac:dyDescent="0.25">
      <c r="O1135" s="49">
        <v>69357</v>
      </c>
    </row>
    <row r="1136" spans="15:15" x14ac:dyDescent="0.25">
      <c r="O1136" s="49">
        <v>69392</v>
      </c>
    </row>
    <row r="1137" spans="15:15" x14ac:dyDescent="0.25">
      <c r="O1137" s="49">
        <v>69399</v>
      </c>
    </row>
    <row r="1138" spans="15:15" x14ac:dyDescent="0.25">
      <c r="O1138" s="49">
        <v>69456</v>
      </c>
    </row>
    <row r="1139" spans="15:15" x14ac:dyDescent="0.25">
      <c r="O1139" s="49">
        <v>69457</v>
      </c>
    </row>
    <row r="1140" spans="15:15" x14ac:dyDescent="0.25">
      <c r="O1140" s="49">
        <v>69502</v>
      </c>
    </row>
    <row r="1141" spans="15:15" x14ac:dyDescent="0.25">
      <c r="O1141" s="49">
        <v>69509</v>
      </c>
    </row>
    <row r="1142" spans="15:15" x14ac:dyDescent="0.25">
      <c r="O1142" s="49">
        <v>69519</v>
      </c>
    </row>
    <row r="1143" spans="15:15" x14ac:dyDescent="0.25">
      <c r="O1143" s="49">
        <v>69564</v>
      </c>
    </row>
    <row r="1144" spans="15:15" x14ac:dyDescent="0.25">
      <c r="O1144" s="49">
        <v>69648</v>
      </c>
    </row>
    <row r="1145" spans="15:15" x14ac:dyDescent="0.25">
      <c r="O1145" s="49">
        <v>69683</v>
      </c>
    </row>
    <row r="1146" spans="15:15" x14ac:dyDescent="0.25">
      <c r="O1146" s="49">
        <v>69704</v>
      </c>
    </row>
    <row r="1147" spans="15:15" x14ac:dyDescent="0.25">
      <c r="O1147" s="49">
        <v>69717</v>
      </c>
    </row>
    <row r="1148" spans="15:15" x14ac:dyDescent="0.25">
      <c r="O1148" s="49">
        <v>69722</v>
      </c>
    </row>
    <row r="1149" spans="15:15" x14ac:dyDescent="0.25">
      <c r="O1149" s="49">
        <v>69757</v>
      </c>
    </row>
    <row r="1150" spans="15:15" x14ac:dyDescent="0.25">
      <c r="O1150" s="49">
        <v>69764</v>
      </c>
    </row>
    <row r="1151" spans="15:15" x14ac:dyDescent="0.25">
      <c r="O1151" s="49">
        <v>69813</v>
      </c>
    </row>
    <row r="1152" spans="15:15" x14ac:dyDescent="0.25">
      <c r="O1152" s="49">
        <v>69814</v>
      </c>
    </row>
    <row r="1153" spans="15:15" x14ac:dyDescent="0.25">
      <c r="O1153" s="49">
        <v>69859</v>
      </c>
    </row>
    <row r="1154" spans="15:15" x14ac:dyDescent="0.25">
      <c r="O1154" s="49">
        <v>69874</v>
      </c>
    </row>
    <row r="1155" spans="15:15" x14ac:dyDescent="0.25">
      <c r="O1155" s="49">
        <v>69884</v>
      </c>
    </row>
    <row r="1156" spans="15:15" x14ac:dyDescent="0.25">
      <c r="O1156" s="49">
        <v>69921</v>
      </c>
    </row>
    <row r="1157" spans="15:15" x14ac:dyDescent="0.25">
      <c r="O1157" s="49">
        <v>70013</v>
      </c>
    </row>
    <row r="1158" spans="15:15" x14ac:dyDescent="0.25">
      <c r="O1158" s="49">
        <v>70048</v>
      </c>
    </row>
    <row r="1159" spans="15:15" x14ac:dyDescent="0.25">
      <c r="O1159" s="49">
        <v>70069</v>
      </c>
    </row>
    <row r="1160" spans="15:15" x14ac:dyDescent="0.25">
      <c r="O1160" s="49">
        <v>70082</v>
      </c>
    </row>
    <row r="1161" spans="15:15" x14ac:dyDescent="0.25">
      <c r="O1161" s="49">
        <v>70087</v>
      </c>
    </row>
    <row r="1162" spans="15:15" x14ac:dyDescent="0.25">
      <c r="O1162" s="49">
        <v>70122</v>
      </c>
    </row>
    <row r="1163" spans="15:15" x14ac:dyDescent="0.25">
      <c r="O1163" s="49">
        <v>70129</v>
      </c>
    </row>
    <row r="1164" spans="15:15" x14ac:dyDescent="0.25">
      <c r="O1164" s="49">
        <v>70170</v>
      </c>
    </row>
    <row r="1165" spans="15:15" x14ac:dyDescent="0.25">
      <c r="O1165" s="49">
        <v>70171</v>
      </c>
    </row>
    <row r="1166" spans="15:15" x14ac:dyDescent="0.25">
      <c r="O1166" s="49">
        <v>70216</v>
      </c>
    </row>
    <row r="1167" spans="15:15" x14ac:dyDescent="0.25">
      <c r="O1167" s="49">
        <v>70240</v>
      </c>
    </row>
    <row r="1168" spans="15:15" x14ac:dyDescent="0.25">
      <c r="O1168" s="49">
        <v>70250</v>
      </c>
    </row>
    <row r="1169" spans="15:15" x14ac:dyDescent="0.25">
      <c r="O1169" s="49">
        <v>70278</v>
      </c>
    </row>
    <row r="1170" spans="15:15" x14ac:dyDescent="0.25">
      <c r="O1170" s="49">
        <v>70379</v>
      </c>
    </row>
    <row r="1171" spans="15:15" x14ac:dyDescent="0.25">
      <c r="O1171" s="49">
        <v>70414</v>
      </c>
    </row>
    <row r="1172" spans="15:15" x14ac:dyDescent="0.25">
      <c r="O1172" s="49">
        <v>70435</v>
      </c>
    </row>
    <row r="1173" spans="15:15" x14ac:dyDescent="0.25">
      <c r="O1173" s="49">
        <v>70448</v>
      </c>
    </row>
    <row r="1174" spans="15:15" x14ac:dyDescent="0.25">
      <c r="O1174" s="49">
        <v>70453</v>
      </c>
    </row>
    <row r="1175" spans="15:15" x14ac:dyDescent="0.25">
      <c r="O1175" s="49">
        <v>70488</v>
      </c>
    </row>
    <row r="1176" spans="15:15" x14ac:dyDescent="0.25">
      <c r="O1176" s="49">
        <v>70495</v>
      </c>
    </row>
    <row r="1177" spans="15:15" x14ac:dyDescent="0.25">
      <c r="O1177" s="49">
        <v>70548</v>
      </c>
    </row>
    <row r="1178" spans="15:15" x14ac:dyDescent="0.25">
      <c r="O1178" s="49">
        <v>70549</v>
      </c>
    </row>
    <row r="1179" spans="15:15" x14ac:dyDescent="0.25">
      <c r="O1179" s="49">
        <v>70594</v>
      </c>
    </row>
    <row r="1180" spans="15:15" x14ac:dyDescent="0.25">
      <c r="O1180" s="49">
        <v>70605</v>
      </c>
    </row>
    <row r="1181" spans="15:15" x14ac:dyDescent="0.25">
      <c r="O1181" s="49">
        <v>70615</v>
      </c>
    </row>
    <row r="1182" spans="15:15" x14ac:dyDescent="0.25">
      <c r="O1182" s="49">
        <v>70656</v>
      </c>
    </row>
    <row r="1183" spans="15:15" x14ac:dyDescent="0.25">
      <c r="O1183" s="49">
        <v>70744</v>
      </c>
    </row>
    <row r="1184" spans="15:15" x14ac:dyDescent="0.25">
      <c r="O1184" s="49">
        <v>70779</v>
      </c>
    </row>
    <row r="1185" spans="15:15" x14ac:dyDescent="0.25">
      <c r="O1185" s="49">
        <v>70800</v>
      </c>
    </row>
    <row r="1186" spans="15:15" x14ac:dyDescent="0.25">
      <c r="O1186" s="49">
        <v>70813</v>
      </c>
    </row>
    <row r="1187" spans="15:15" x14ac:dyDescent="0.25">
      <c r="O1187" s="49">
        <v>70818</v>
      </c>
    </row>
    <row r="1188" spans="15:15" x14ac:dyDescent="0.25">
      <c r="O1188" s="49">
        <v>70853</v>
      </c>
    </row>
    <row r="1189" spans="15:15" x14ac:dyDescent="0.25">
      <c r="O1189" s="49">
        <v>70860</v>
      </c>
    </row>
    <row r="1190" spans="15:15" x14ac:dyDescent="0.25">
      <c r="O1190" s="49">
        <v>70905</v>
      </c>
    </row>
    <row r="1191" spans="15:15" x14ac:dyDescent="0.25">
      <c r="O1191" s="49">
        <v>70906</v>
      </c>
    </row>
    <row r="1192" spans="15:15" x14ac:dyDescent="0.25">
      <c r="O1192" s="49">
        <v>70951</v>
      </c>
    </row>
    <row r="1193" spans="15:15" x14ac:dyDescent="0.25">
      <c r="O1193" s="49">
        <v>70970</v>
      </c>
    </row>
    <row r="1194" spans="15:15" x14ac:dyDescent="0.25">
      <c r="O1194" s="49">
        <v>70980</v>
      </c>
    </row>
    <row r="1195" spans="15:15" x14ac:dyDescent="0.25">
      <c r="O1195" s="49">
        <v>71013</v>
      </c>
    </row>
    <row r="1196" spans="15:15" x14ac:dyDescent="0.25">
      <c r="O1196" s="49">
        <v>71109</v>
      </c>
    </row>
    <row r="1197" spans="15:15" x14ac:dyDescent="0.25">
      <c r="O1197" s="49">
        <v>71144</v>
      </c>
    </row>
    <row r="1198" spans="15:15" x14ac:dyDescent="0.25">
      <c r="O1198" s="49">
        <v>71165</v>
      </c>
    </row>
    <row r="1199" spans="15:15" x14ac:dyDescent="0.25">
      <c r="O1199" s="49">
        <v>71178</v>
      </c>
    </row>
    <row r="1200" spans="15:15" x14ac:dyDescent="0.25">
      <c r="O1200" s="49">
        <v>71183</v>
      </c>
    </row>
    <row r="1201" spans="15:15" x14ac:dyDescent="0.25">
      <c r="O1201" s="49">
        <v>71218</v>
      </c>
    </row>
    <row r="1202" spans="15:15" x14ac:dyDescent="0.25">
      <c r="O1202" s="49">
        <v>71225</v>
      </c>
    </row>
    <row r="1203" spans="15:15" x14ac:dyDescent="0.25">
      <c r="O1203" s="49">
        <v>71290</v>
      </c>
    </row>
    <row r="1204" spans="15:15" x14ac:dyDescent="0.25">
      <c r="O1204" s="49">
        <v>71291</v>
      </c>
    </row>
    <row r="1205" spans="15:15" x14ac:dyDescent="0.25">
      <c r="O1205" s="49">
        <v>71335</v>
      </c>
    </row>
    <row r="1206" spans="15:15" x14ac:dyDescent="0.25">
      <c r="O1206" s="49">
        <v>71336</v>
      </c>
    </row>
    <row r="1207" spans="15:15" x14ac:dyDescent="0.25">
      <c r="O1207" s="49">
        <v>71345</v>
      </c>
    </row>
    <row r="1208" spans="15:15" x14ac:dyDescent="0.25">
      <c r="O1208" s="49">
        <v>71398</v>
      </c>
    </row>
    <row r="1209" spans="15:15" x14ac:dyDescent="0.25">
      <c r="O1209" s="49">
        <v>71474</v>
      </c>
    </row>
    <row r="1210" spans="15:15" x14ac:dyDescent="0.25">
      <c r="O1210" s="49">
        <v>71509</v>
      </c>
    </row>
    <row r="1211" spans="15:15" x14ac:dyDescent="0.25">
      <c r="O1211" s="49">
        <v>71530</v>
      </c>
    </row>
    <row r="1212" spans="15:15" x14ac:dyDescent="0.25">
      <c r="O1212" s="49">
        <v>71543</v>
      </c>
    </row>
    <row r="1213" spans="15:15" x14ac:dyDescent="0.25">
      <c r="O1213" s="49">
        <v>71548</v>
      </c>
    </row>
    <row r="1214" spans="15:15" x14ac:dyDescent="0.25">
      <c r="O1214" s="49">
        <v>71583</v>
      </c>
    </row>
    <row r="1215" spans="15:15" x14ac:dyDescent="0.25">
      <c r="O1215" s="49">
        <v>71590</v>
      </c>
    </row>
    <row r="1216" spans="15:15" x14ac:dyDescent="0.25">
      <c r="O1216" s="49">
        <v>71647</v>
      </c>
    </row>
    <row r="1217" spans="15:15" x14ac:dyDescent="0.25">
      <c r="O1217" s="49">
        <v>71648</v>
      </c>
    </row>
    <row r="1218" spans="15:15" x14ac:dyDescent="0.25">
      <c r="O1218" s="49">
        <v>71693</v>
      </c>
    </row>
    <row r="1219" spans="15:15" x14ac:dyDescent="0.25">
      <c r="O1219" s="49">
        <v>71701</v>
      </c>
    </row>
    <row r="1220" spans="15:15" x14ac:dyDescent="0.25">
      <c r="O1220" s="49">
        <v>71711</v>
      </c>
    </row>
    <row r="1221" spans="15:15" x14ac:dyDescent="0.25">
      <c r="O1221" s="49">
        <v>71755</v>
      </c>
    </row>
    <row r="1222" spans="15:15" x14ac:dyDescent="0.25">
      <c r="O1222" s="49">
        <v>71840</v>
      </c>
    </row>
    <row r="1223" spans="15:15" x14ac:dyDescent="0.25">
      <c r="O1223" s="49">
        <v>71875</v>
      </c>
    </row>
    <row r="1224" spans="15:15" x14ac:dyDescent="0.25">
      <c r="O1224" s="49">
        <v>71896</v>
      </c>
    </row>
    <row r="1225" spans="15:15" x14ac:dyDescent="0.25">
      <c r="O1225" s="49">
        <v>71909</v>
      </c>
    </row>
    <row r="1226" spans="15:15" x14ac:dyDescent="0.25">
      <c r="O1226" s="49">
        <v>71914</v>
      </c>
    </row>
    <row r="1227" spans="15:15" x14ac:dyDescent="0.25">
      <c r="O1227" s="49">
        <v>71949</v>
      </c>
    </row>
    <row r="1228" spans="15:15" x14ac:dyDescent="0.25">
      <c r="O1228" s="49">
        <v>71956</v>
      </c>
    </row>
    <row r="1229" spans="15:15" x14ac:dyDescent="0.25">
      <c r="O1229" s="49">
        <v>71997</v>
      </c>
    </row>
    <row r="1230" spans="15:15" x14ac:dyDescent="0.25">
      <c r="O1230" s="49">
        <v>71998</v>
      </c>
    </row>
    <row r="1231" spans="15:15" x14ac:dyDescent="0.25">
      <c r="O1231" s="49">
        <v>72043</v>
      </c>
    </row>
    <row r="1232" spans="15:15" x14ac:dyDescent="0.25">
      <c r="O1232" s="49">
        <v>72066</v>
      </c>
    </row>
    <row r="1233" spans="15:15" x14ac:dyDescent="0.25">
      <c r="O1233" s="49">
        <v>72076</v>
      </c>
    </row>
    <row r="1234" spans="15:15" x14ac:dyDescent="0.25">
      <c r="O1234" s="49">
        <v>72105</v>
      </c>
    </row>
    <row r="1235" spans="15:15" x14ac:dyDescent="0.25">
      <c r="O1235" s="49">
        <v>72205</v>
      </c>
    </row>
    <row r="1236" spans="15:15" x14ac:dyDescent="0.25">
      <c r="O1236" s="49">
        <v>72240</v>
      </c>
    </row>
    <row r="1237" spans="15:15" x14ac:dyDescent="0.25">
      <c r="O1237" s="49">
        <v>72261</v>
      </c>
    </row>
    <row r="1238" spans="15:15" x14ac:dyDescent="0.25">
      <c r="O1238" s="49">
        <v>72274</v>
      </c>
    </row>
    <row r="1239" spans="15:15" x14ac:dyDescent="0.25">
      <c r="O1239" s="49">
        <v>72279</v>
      </c>
    </row>
    <row r="1240" spans="15:15" x14ac:dyDescent="0.25">
      <c r="O1240" s="49">
        <v>72314</v>
      </c>
    </row>
    <row r="1241" spans="15:15" x14ac:dyDescent="0.25">
      <c r="O1241" s="49">
        <v>72321</v>
      </c>
    </row>
    <row r="1242" spans="15:15" x14ac:dyDescent="0.25">
      <c r="O1242" s="49">
        <v>72382</v>
      </c>
    </row>
    <row r="1243" spans="15:15" x14ac:dyDescent="0.25">
      <c r="O1243" s="49">
        <v>72383</v>
      </c>
    </row>
    <row r="1244" spans="15:15" x14ac:dyDescent="0.25">
      <c r="O1244" s="49">
        <v>72428</v>
      </c>
    </row>
    <row r="1245" spans="15:15" x14ac:dyDescent="0.25">
      <c r="O1245" s="49">
        <v>72431</v>
      </c>
    </row>
    <row r="1246" spans="15:15" x14ac:dyDescent="0.25">
      <c r="O1246" s="49">
        <v>72441</v>
      </c>
    </row>
    <row r="1247" spans="15:15" x14ac:dyDescent="0.25">
      <c r="O1247" s="49">
        <v>72490</v>
      </c>
    </row>
    <row r="1248" spans="15:15" x14ac:dyDescent="0.25">
      <c r="O1248" s="49">
        <v>72570</v>
      </c>
    </row>
    <row r="1249" spans="15:15" x14ac:dyDescent="0.25">
      <c r="O1249" s="49">
        <v>72605</v>
      </c>
    </row>
    <row r="1250" spans="15:15" x14ac:dyDescent="0.25">
      <c r="O1250" s="49">
        <v>72626</v>
      </c>
    </row>
    <row r="1251" spans="15:15" x14ac:dyDescent="0.25">
      <c r="O1251" s="49">
        <v>72639</v>
      </c>
    </row>
    <row r="1252" spans="15:15" x14ac:dyDescent="0.25">
      <c r="O1252" s="49">
        <v>72644</v>
      </c>
    </row>
    <row r="1253" spans="15:15" x14ac:dyDescent="0.25">
      <c r="O1253" s="49">
        <v>72679</v>
      </c>
    </row>
    <row r="1254" spans="15:15" x14ac:dyDescent="0.25">
      <c r="O1254" s="49">
        <v>72686</v>
      </c>
    </row>
    <row r="1255" spans="15:15" x14ac:dyDescent="0.25">
      <c r="O1255" s="49">
        <v>72739</v>
      </c>
    </row>
    <row r="1256" spans="15:15" x14ac:dyDescent="0.25">
      <c r="O1256" s="49">
        <v>72740</v>
      </c>
    </row>
    <row r="1257" spans="15:15" x14ac:dyDescent="0.25">
      <c r="O1257" s="49">
        <v>72785</v>
      </c>
    </row>
    <row r="1258" spans="15:15" x14ac:dyDescent="0.25">
      <c r="O1258" s="49">
        <v>72796</v>
      </c>
    </row>
    <row r="1259" spans="15:15" x14ac:dyDescent="0.25">
      <c r="O1259" s="49">
        <v>72806</v>
      </c>
    </row>
    <row r="1260" spans="15:15" x14ac:dyDescent="0.25">
      <c r="O1260" s="49">
        <v>72847</v>
      </c>
    </row>
    <row r="1261" spans="15:15" x14ac:dyDescent="0.25">
      <c r="O1261" s="49">
        <v>72935</v>
      </c>
    </row>
    <row r="1262" spans="15:15" x14ac:dyDescent="0.25">
      <c r="O1262" s="49">
        <v>72970</v>
      </c>
    </row>
    <row r="1263" spans="15:15" x14ac:dyDescent="0.25">
      <c r="O1263" s="49">
        <v>72991</v>
      </c>
    </row>
    <row r="1264" spans="15:15" x14ac:dyDescent="0.25">
      <c r="O1264" s="49">
        <v>73004</v>
      </c>
    </row>
    <row r="1265" spans="15:15" x14ac:dyDescent="0.25">
      <c r="O1265" s="49">
        <v>73009</v>
      </c>
    </row>
    <row r="1266" spans="15:15" ht="15.75" thickBot="1" x14ac:dyDescent="0.3">
      <c r="O1266" s="54">
        <v>73044</v>
      </c>
    </row>
  </sheetData>
  <mergeCells count="1">
    <mergeCell ref="R2:S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Contract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ankit gupta</dc:creator>
  <cp:lastModifiedBy>ankit gupta</cp:lastModifiedBy>
  <dcterms:created xsi:type="dcterms:W3CDTF">2026-04-15T08:42:10Z</dcterms:created>
  <dcterms:modified xsi:type="dcterms:W3CDTF">2026-04-15T12:00:17Z</dcterms:modified>
</cp:coreProperties>
</file>